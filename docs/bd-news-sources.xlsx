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<sst xmlns="http://schemas.openxmlformats.org/spreadsheetml/2006/main" count="520" uniqueCount="299">
  <si>
    <t xml:space="preserve">Bangladeshi news portals — fetchability summary</t>
  </si>
  <si>
    <t xml:space="preserve">Counts are formulas over the Sources sheet.</t>
  </si>
  <si>
    <t xml:space="preserve">Method</t>
  </si>
  <si>
    <t xml:space="preserve">Portals</t>
  </si>
  <si>
    <t xml:space="preserve">Bangla</t>
  </si>
  <si>
    <t xml:space="preserve">English</t>
  </si>
  <si>
    <t xml:space="preserve">What it means</t>
  </si>
  <si>
    <t xml:space="preserve">RSS</t>
  </si>
  <si>
    <t xml:space="preserve">Feed with title + link. Easiest.</t>
  </si>
  <si>
    <t xml:space="preserve">Sitemap</t>
  </si>
  <si>
    <t xml:space="preserve">Google News sitemap (news:title + loc). As good as RSS.</t>
  </si>
  <si>
    <t xml:space="preserve">HTML</t>
  </si>
  <si>
    <t xml:space="preserve">Parse homepage links. Works but can break on redesigns.</t>
  </si>
  <si>
    <t xml:space="preserve">Unclear</t>
  </si>
  <si>
    <t xml:space="preserve">Stale data, or links without titles.</t>
  </si>
  <si>
    <t xml:space="preserve">Unavailable</t>
  </si>
  <si>
    <t xml:space="preserve">Blocked (403/402), down, or JS-only.</t>
  </si>
  <si>
    <t xml:space="preserve">Total checked</t>
  </si>
  <si>
    <t xml:space="preserve">Usable now (RSS + Sitemap + HTML)</t>
  </si>
  <si>
    <t xml:space="preserve">Structured only (RSS + Sitemap)</t>
  </si>
  <si>
    <t xml:space="preserve">#</t>
  </si>
  <si>
    <t xml:space="preserve">Portal</t>
  </si>
  <si>
    <t xml:space="preserve">Language</t>
  </si>
  <si>
    <t xml:space="preserve">Type</t>
  </si>
  <si>
    <t xml:space="preserve">Homepage</t>
  </si>
  <si>
    <t xml:space="preserve">Fetch URL</t>
  </si>
  <si>
    <t xml:space="preserve">Items (approx.)</t>
  </si>
  <si>
    <t xml:space="preserve">Article URL pattern (HTML only)</t>
  </si>
  <si>
    <t xml:space="preserve">Notes</t>
  </si>
  <si>
    <t xml:space="preserve">Prothom Alo</t>
  </si>
  <si>
    <t xml:space="preserve">Newspaper</t>
  </si>
  <si>
    <t xml:space="preserve">https://www.prothomalo.com</t>
  </si>
  <si>
    <t xml:space="preserve">https://www.prothomalo.com/feed/</t>
  </si>
  <si>
    <t xml:space="preserve">12</t>
  </si>
  <si>
    <t xml:space="preserve">Live RSS 2.0</t>
  </si>
  <si>
    <t xml:space="preserve">Prothom Alo English</t>
  </si>
  <si>
    <t xml:space="preserve">https://en.prothomalo.com</t>
  </si>
  <si>
    <t xml:space="preserve">https://en.prothomalo.com/feed/</t>
  </si>
  <si>
    <t xml:space="preserve">2</t>
  </si>
  <si>
    <t xml:space="preserve">Live but only ~2 items; poll often</t>
  </si>
  <si>
    <t xml:space="preserve">The Daily Star</t>
  </si>
  <si>
    <t xml:space="preserve">https://www.thedailystar.net</t>
  </si>
  <si>
    <t xml:space="preserve">https://www.thedailystar.net/</t>
  </si>
  <si>
    <t xml:space="preserve">/news/.+-\d{5,}$</t>
  </si>
  <si>
    <t xml:space="preserve">/rss.xml stale (newest 1 Jun 2026); /frontpage/rss.xml stale (2022)</t>
  </si>
  <si>
    <t xml:space="preserve">The Daily Star Bangla</t>
  </si>
  <si>
    <t xml:space="preserve">https://bangla.thedailystar.net</t>
  </si>
  <si>
    <t xml:space="preserve">https://bangla.thedailystar.net/</t>
  </si>
  <si>
    <t xml:space="preserve">/news-\d{5,}$</t>
  </si>
  <si>
    <t xml:space="preserve">/rss.xml stale (Feb 2026)</t>
  </si>
  <si>
    <t xml:space="preserve">bdnews24 Bangla</t>
  </si>
  <si>
    <t xml:space="preserve">Online</t>
  </si>
  <si>
    <t xml:space="preserve">https://bangla.bdnews24.com</t>
  </si>
  <si>
    <t xml:space="preserve">https://bangla.bdnews24.com/</t>
  </si>
  <si>
    <t xml:space="preserve">^/[a-z-]+/[a-z0-9]{8,12}$</t>
  </si>
  <si>
    <t xml:space="preserve">Old widget RSS URL now returns homepage HTML</t>
  </si>
  <si>
    <t xml:space="preserve">bdnews24 English</t>
  </si>
  <si>
    <t xml:space="preserve">https://bdnews24.com</t>
  </si>
  <si>
    <t xml:space="preserve">https://bdnews24.com/</t>
  </si>
  <si>
    <t xml:space="preserve">Dhaka Tribune</t>
  </si>
  <si>
    <t xml:space="preserve">https://www.dhakatribune.com</t>
  </si>
  <si>
    <t xml:space="preserve">https://www.dhakatribune.com/news-sitemap.xml</t>
  </si>
  <si>
    <t xml:space="preserve">100+</t>
  </si>
  <si>
    <t xml:space="preserve">Google News sitemap; /feed is 404</t>
  </si>
  <si>
    <t xml:space="preserve">Bangla Tribune</t>
  </si>
  <si>
    <t xml:space="preserve">https://www.banglatribune.com</t>
  </si>
  <si>
    <t xml:space="preserve">https://www.banglatribune.com/news-sitemap.xml</t>
  </si>
  <si>
    <t xml:space="preserve">50</t>
  </si>
  <si>
    <t xml:space="preserve">Google News sitemap; /feed/ is 404</t>
  </si>
  <si>
    <t xml:space="preserve">The Business Standard</t>
  </si>
  <si>
    <t xml:space="preserve">https://www.tbsnews.net</t>
  </si>
  <si>
    <t xml:space="preserve">https://www.tbsnews.net/</t>
  </si>
  <si>
    <t xml:space="preserve">/[a-z-]+/.+-\d{5,}$</t>
  </si>
  <si>
    <t xml:space="preserve">/rss.xml stale (2021)</t>
  </si>
  <si>
    <t xml:space="preserve">TBS Bangla</t>
  </si>
  <si>
    <t xml:space="preserve">https://www.tbsnews.net/bangla</t>
  </si>
  <si>
    <t xml:space="preserve">^/bangla/.+-\d{5,}$</t>
  </si>
  <si>
    <t xml:space="preserve">/bangla/rss.xml stale (Oct 2025)</t>
  </si>
  <si>
    <t xml:space="preserve">Jugantor</t>
  </si>
  <si>
    <t xml:space="preserve">https://www.jugantor.com</t>
  </si>
  <si>
    <t xml:space="preserve">https://www.jugantor.com/news_sitemap.xml</t>
  </si>
  <si>
    <t xml:space="preserve">100</t>
  </si>
  <si>
    <t xml:space="preserve">Underscore filename; found via /sitemap.xml</t>
  </si>
  <si>
    <t xml:space="preserve">Kaler Kantho</t>
  </si>
  <si>
    <t xml:space="preserve">https://www.kalerkantho.com</t>
  </si>
  <si>
    <t xml:space="preserve">https://www.kalerkantho.com/daily-sitemap/{YYYY-MM-DD}/sitemap.xml</t>
  </si>
  <si>
    <t xml:space="preserve">121</t>
  </si>
  <si>
    <t xml:space="preserve">One sitemap per day (index: /sitemap.xml); ~1 day lag</t>
  </si>
  <si>
    <t xml:space="preserve">Samakal</t>
  </si>
  <si>
    <t xml:space="preserve">https://samakal.com</t>
  </si>
  <si>
    <t xml:space="preserve">https://samakal.com/news_sitemap.xml</t>
  </si>
  <si>
    <t xml:space="preserve">51</t>
  </si>
  <si>
    <t xml:space="preserve">Sitemap newest item ~10 days old; homepage and RSS return 403</t>
  </si>
  <si>
    <t xml:space="preserve">Ittefaq</t>
  </si>
  <si>
    <t xml:space="preserve">https://www.ittefaq.com.bd</t>
  </si>
  <si>
    <t xml:space="preserve">https://www.ittefaq.com.bd/news-sitemap.xml</t>
  </si>
  <si>
    <t xml:space="preserve">40</t>
  </si>
  <si>
    <t xml:space="preserve">Google News sitemap</t>
  </si>
  <si>
    <t xml:space="preserve">Bangladesh Pratidin</t>
  </si>
  <si>
    <t xml:space="preserve">https://www.bd-pratidin.com</t>
  </si>
  <si>
    <t xml:space="preserve">403 on every URL tested</t>
  </si>
  <si>
    <t xml:space="preserve">Naya Diganta</t>
  </si>
  <si>
    <t xml:space="preserve">https://dailynayadiganta.com</t>
  </si>
  <si>
    <t xml:space="preserve">https://dailynayadiganta.com/</t>
  </si>
  <si>
    <t xml:space="preserve">^/post/[a-z-]+/\d+</t>
  </si>
  <si>
    <t xml:space="preserve">www host fails SSL; use bare domain</t>
  </si>
  <si>
    <t xml:space="preserve">Manab Zamin</t>
  </si>
  <si>
    <t xml:space="preserve">https://www.mzamin.com</t>
  </si>
  <si>
    <t xml:space="preserve">https://www.mzamin.com/</t>
  </si>
  <si>
    <t xml:space="preserve">^/article/\d+</t>
  </si>
  <si>
    <t xml:space="preserve">No RSS (404)</t>
  </si>
  <si>
    <t xml:space="preserve">Desh Rupantor</t>
  </si>
  <si>
    <t xml:space="preserve">https://www.deshrupantor.com</t>
  </si>
  <si>
    <t xml:space="preserve">https://www.deshrupantor.com/news-sitemap.xml</t>
  </si>
  <si>
    <t xml:space="preserve">Kalbela</t>
  </si>
  <si>
    <t xml:space="preserve">https://www.kalbela.com</t>
  </si>
  <si>
    <t xml:space="preserve">https://www.kalbela.com/</t>
  </si>
  <si>
    <t xml:space="preserve">^/[a-z-]+(/[a-z-]+)?/\d{4,}$</t>
  </si>
  <si>
    <t xml:space="preserve">RSS paths empty / 403</t>
  </si>
  <si>
    <t xml:space="preserve">Ajker Patrika</t>
  </si>
  <si>
    <t xml:space="preserve">https://www.ajkerpatrika.com</t>
  </si>
  <si>
    <t xml:space="preserve">https://www.ajkerpatrika.com/feed</t>
  </si>
  <si>
    <t xml:space="preserve">20</t>
  </si>
  <si>
    <t xml:space="preserve">Bonik Barta</t>
  </si>
  <si>
    <t xml:space="preserve">https://bonikbarta.com</t>
  </si>
  <si>
    <t xml:space="preserve">https://bonikbarta.com/sitemaps/sitemap-news-{YYYY-MM-DD}.xml</t>
  </si>
  <si>
    <t xml:space="preserve">60</t>
  </si>
  <si>
    <t xml:space="preserve">Daily sitemap has links but no titles; homepage JS-rendered</t>
  </si>
  <si>
    <t xml:space="preserve">Janakantha</t>
  </si>
  <si>
    <t xml:space="preserve">https://www.dailyjanakantha.com</t>
  </si>
  <si>
    <t xml:space="preserve">XML returns 403; homepage stale, no links</t>
  </si>
  <si>
    <t xml:space="preserve">Inqilab</t>
  </si>
  <si>
    <t xml:space="preserve">https://dailyinqilab.com</t>
  </si>
  <si>
    <t xml:space="preserve">403; www host shows stale 2020 content</t>
  </si>
  <si>
    <t xml:space="preserve">Bhorer Kagoj</t>
  </si>
  <si>
    <t xml:space="preserve">https://www.bhorerkagoj.net</t>
  </si>
  <si>
    <t xml:space="preserve">https://www.bhorerkagoj.net/</t>
  </si>
  <si>
    <t xml:space="preserve">^/[a-z-]+/\d{5,}</t>
  </si>
  <si>
    <t xml:space="preserve">bhorerkagoj.com redirects to .net</t>
  </si>
  <si>
    <t xml:space="preserve">Amader Shomoy</t>
  </si>
  <si>
    <t xml:space="preserve">https://www.dainikamadershomoy.com</t>
  </si>
  <si>
    <t xml:space="preserve">No feed/sitemap; homepage JS-rendered</t>
  </si>
  <si>
    <t xml:space="preserve">Sangbad</t>
  </si>
  <si>
    <t xml:space="preserve">https://sangbad.net</t>
  </si>
  <si>
    <t xml:space="preserve">https://sangbad.net/rss.xml</t>
  </si>
  <si>
    <t xml:space="preserve">8</t>
  </si>
  <si>
    <t xml:space="preserve">sangbad.net.bd redirects here; small feed</t>
  </si>
  <si>
    <t xml:space="preserve">Jago News 24</t>
  </si>
  <si>
    <t xml:space="preserve">https://www.jagonews24.com</t>
  </si>
  <si>
    <t xml:space="preserve">https://www.jagonews24.com/</t>
  </si>
  <si>
    <t xml:space="preserve">/news/\d+</t>
  </si>
  <si>
    <t xml:space="preserve">/rss/rss.xml is a soft 404</t>
  </si>
  <si>
    <t xml:space="preserve">Dhaka Post</t>
  </si>
  <si>
    <t xml:space="preserve">https://www.dhakapost.com</t>
  </si>
  <si>
    <t xml:space="preserve">https://www.dhakapost.com/rss/rss.xml</t>
  </si>
  <si>
    <t xml:space="preserve">Rising BD</t>
  </si>
  <si>
    <t xml:space="preserve">https://www.risingbd.com</t>
  </si>
  <si>
    <t xml:space="preserve">https://www.risingbd.com/rss/rss.xml</t>
  </si>
  <si>
    <t xml:space="preserve">Banglanews24</t>
  </si>
  <si>
    <t xml:space="preserve">https://www.banglanews24.com</t>
  </si>
  <si>
    <t xml:space="preserve">HTTP 402 on everything (bot blocking)</t>
  </si>
  <si>
    <t xml:space="preserve">Daily Bangladesh</t>
  </si>
  <si>
    <t xml:space="preserve">https://www.daily-bangladesh.com</t>
  </si>
  <si>
    <t xml:space="preserve">https://www.daily-bangladesh.com/rss.xml</t>
  </si>
  <si>
    <t xml:space="preserve">10</t>
  </si>
  <si>
    <t xml:space="preserve">/rss/rss.xml is 404</t>
  </si>
  <si>
    <t xml:space="preserve">Sarabangla</t>
  </si>
  <si>
    <t xml:space="preserve">https://sarabangla.net</t>
  </si>
  <si>
    <t xml:space="preserve">https://sarabangla.net/feed/</t>
  </si>
  <si>
    <t xml:space="preserve">Barta24</t>
  </si>
  <si>
    <t xml:space="preserve">https://barta24.com</t>
  </si>
  <si>
    <t xml:space="preserve">https://barta24.com/rss/rss.xml</t>
  </si>
  <si>
    <t xml:space="preserve">Contains duplicates; dedupe by link</t>
  </si>
  <si>
    <t xml:space="preserve">Dhaka Times 24</t>
  </si>
  <si>
    <t xml:space="preserve">https://www.dhakatimes24.com</t>
  </si>
  <si>
    <t xml:space="preserve">https://www.dhakatimes24.com/</t>
  </si>
  <si>
    <t xml:space="preserve">^/\d{4}/\d{2}/\d{2}/\d+</t>
  </si>
  <si>
    <t xml:space="preserve">RSS paths return homepage (soft 404)</t>
  </si>
  <si>
    <t xml:space="preserve">Bangla Insider</t>
  </si>
  <si>
    <t xml:space="preserve">https://www.banglainsider.com</t>
  </si>
  <si>
    <t xml:space="preserve">robots.txt disallows automated fetchers</t>
  </si>
  <si>
    <t xml:space="preserve">Ekushey TV</t>
  </si>
  <si>
    <t xml:space="preserve">TV</t>
  </si>
  <si>
    <t xml:space="preserve">https://www.ekushey-tv.com</t>
  </si>
  <si>
    <t xml:space="preserve">https://www.ekushey-tv.com/rss/rss.xml</t>
  </si>
  <si>
    <t xml:space="preserve">30</t>
  </si>
  <si>
    <t xml:space="preserve">Somoy News</t>
  </si>
  <si>
    <t xml:space="preserve">https://www.somoynews.tv</t>
  </si>
  <si>
    <t xml:space="preserve">Site under maintenance (live stream only)</t>
  </si>
  <si>
    <t xml:space="preserve">Jamuna TV</t>
  </si>
  <si>
    <t xml:space="preserve">https://www.jamuna.tv</t>
  </si>
  <si>
    <t xml:space="preserve">https://www.jamuna.tv/news_sitemap.xml</t>
  </si>
  <si>
    <t xml:space="preserve">~200</t>
  </si>
  <si>
    <t xml:space="preserve">Homepage 403; sitemap works</t>
  </si>
  <si>
    <t xml:space="preserve">Channel i Online</t>
  </si>
  <si>
    <t xml:space="preserve">https://www.channelionline.com</t>
  </si>
  <si>
    <t xml:space="preserve">https://www.channelionline.com/feed/</t>
  </si>
  <si>
    <t xml:space="preserve">WordPress RSS</t>
  </si>
  <si>
    <t xml:space="preserve">NTV</t>
  </si>
  <si>
    <t xml:space="preserve">https://www.ntvbd.com</t>
  </si>
  <si>
    <t xml:space="preserve">https://www.ntvbd.com/</t>
  </si>
  <si>
    <t xml:space="preserve">/news-\d+$</t>
  </si>
  <si>
    <t xml:space="preserve">No RSS; plain sitemaps without titles</t>
  </si>
  <si>
    <t xml:space="preserve">RTV Online</t>
  </si>
  <si>
    <t xml:space="preserve">https://www.rtvonline.com</t>
  </si>
  <si>
    <t xml:space="preserve">https://www.rtvonline.com/</t>
  </si>
  <si>
    <t xml:space="preserve">No RSS or news sitemap</t>
  </si>
  <si>
    <t xml:space="preserve">Ekattor TV</t>
  </si>
  <si>
    <t xml:space="preserve">https://ekattor.tv</t>
  </si>
  <si>
    <t xml:space="preserve">https://ekattor.tv/news-sitemap.xml</t>
  </si>
  <si>
    <t xml:space="preserve">Channel 24</t>
  </si>
  <si>
    <t xml:space="preserve">https://www.channel24bd.tv</t>
  </si>
  <si>
    <t xml:space="preserve">https://www.channel24bd.tv/news-sitemap.xml</t>
  </si>
  <si>
    <t xml:space="preserve">Homepage JS-rendered; sitemap only</t>
  </si>
  <si>
    <t xml:space="preserve">Independent TV</t>
  </si>
  <si>
    <t xml:space="preserve">https://www.itvbd.com</t>
  </si>
  <si>
    <t xml:space="preserve">https://www.itvbd.com/news-sitemap.xml</t>
  </si>
  <si>
    <t xml:space="preserve">DBC News</t>
  </si>
  <si>
    <t xml:space="preserve">https://dbcnews.tv</t>
  </si>
  <si>
    <t xml:space="preserve">News sitemap listed but 404; homepage stale</t>
  </si>
  <si>
    <t xml:space="preserve">Bangla Vision</t>
  </si>
  <si>
    <t xml:space="preserve">https://www.bvnews24.com</t>
  </si>
  <si>
    <t xml:space="preserve">https://www.bvnews24.com/rss/rss.xml</t>
  </si>
  <si>
    <t xml:space="preserve">banglavision.tv redirects to bvnews24.com</t>
  </si>
  <si>
    <t xml:space="preserve">Shomoyer Alo</t>
  </si>
  <si>
    <t xml:space="preserve">https://www.shomoyeralo.com</t>
  </si>
  <si>
    <t xml:space="preserve">https://www.shomoyeralo.com/</t>
  </si>
  <si>
    <t xml:space="preserve">^/news/\d+</t>
  </si>
  <si>
    <t xml:space="preserve">No RSS</t>
  </si>
  <si>
    <t xml:space="preserve">Alokito Bangladesh</t>
  </si>
  <si>
    <t xml:space="preserve">https://www.alokitobangladesh.com</t>
  </si>
  <si>
    <t xml:space="preserve">https://www.alokitobangladesh.com/rss/rss.xml</t>
  </si>
  <si>
    <t xml:space="preserve">16</t>
  </si>
  <si>
    <t xml:space="preserve">The Financial Express</t>
  </si>
  <si>
    <t xml:space="preserve">https://thefinancialexpress.com.bd</t>
  </si>
  <si>
    <t xml:space="preserve">https://thefinancialexpress.com.bd/</t>
  </si>
  <si>
    <t xml:space="preserve">^/[a-z-]+/[a-z0-9-]{20,}$</t>
  </si>
  <si>
    <t xml:space="preserve">RSS paths return HTML</t>
  </si>
  <si>
    <t xml:space="preserve">New Age</t>
  </si>
  <si>
    <t xml:space="preserve">https://www.newagebd.net</t>
  </si>
  <si>
    <t xml:space="preserve">Daily Sun</t>
  </si>
  <si>
    <t xml:space="preserve">https://www.daily-sun.com</t>
  </si>
  <si>
    <t xml:space="preserve">https://www.daily-sun.com/news_sitemap.xml</t>
  </si>
  <si>
    <t xml:space="preserve">200+</t>
  </si>
  <si>
    <t xml:space="preserve">Underscore filename</t>
  </si>
  <si>
    <t xml:space="preserve">Daily Observer</t>
  </si>
  <si>
    <t xml:space="preserve">https://www.observerbd.com</t>
  </si>
  <si>
    <t xml:space="preserve">https://www.observerbd.com/rss.php</t>
  </si>
  <si>
    <t xml:space="preserve">Live RSS</t>
  </si>
  <si>
    <t xml:space="preserve">Bangladesh Post</t>
  </si>
  <si>
    <t xml:space="preserve">https://bangladeshpost.net</t>
  </si>
  <si>
    <t xml:space="preserve">Connection timeouts</t>
  </si>
  <si>
    <t xml:space="preserve">The Asian Age (BD)</t>
  </si>
  <si>
    <t xml:space="preserve">https://dailyasianage.com</t>
  </si>
  <si>
    <t xml:space="preserve">https://dailyasianage.com/</t>
  </si>
  <si>
    <t xml:space="preserve">^/news/\d+/</t>
  </si>
  <si>
    <t xml:space="preserve">/rss is valid but empty</t>
  </si>
  <si>
    <t xml:space="preserve">The Daily Messenger</t>
  </si>
  <si>
    <t xml:space="preserve">https://www.dailymessenger.net</t>
  </si>
  <si>
    <t xml:space="preserve">https://www.dailymessenger.net/rss/rss.xml</t>
  </si>
  <si>
    <t xml:space="preserve">Feed stale since May 2025; site may be inactive</t>
  </si>
  <si>
    <t xml:space="preserve">UNB</t>
  </si>
  <si>
    <t xml:space="preserve">Agency</t>
  </si>
  <si>
    <t xml:space="preserve">https://unb.com.bd</t>
  </si>
  <si>
    <t xml:space="preserve">https://unb.com.bd/</t>
  </si>
  <si>
    <t xml:space="preserve">^/category/[^/]+/[^/]+/\d+$</t>
  </si>
  <si>
    <t xml:space="preserve">Footer RSS link is 404</t>
  </si>
  <si>
    <t xml:space="preserve">BSS Bangla</t>
  </si>
  <si>
    <t xml:space="preserve">https://www.bssnews.net/bangla</t>
  </si>
  <si>
    <t xml:space="preserve">/bangla/rss redirect loop; no links extracted</t>
  </si>
  <si>
    <t xml:space="preserve">BSS English</t>
  </si>
  <si>
    <t xml:space="preserve">https://www.bssnews.net</t>
  </si>
  <si>
    <t xml:space="preserve">https://www.bssnews.net/</t>
  </si>
  <si>
    <t xml:space="preserve">^/news/\d+$</t>
  </si>
  <si>
    <t xml:space="preserve">/rss redirect loop</t>
  </si>
  <si>
    <t xml:space="preserve">Bonik Barta English</t>
  </si>
  <si>
    <t xml:space="preserve">https://en.bonikbarta.com</t>
  </si>
  <si>
    <t xml:space="preserve">https://en.bonikbarta.com/sitemaps/sitemap-news-{YYYY-MM-DD}.xml</t>
  </si>
  <si>
    <t xml:space="preserve">75</t>
  </si>
  <si>
    <t xml:space="preserve">Daily sitemap has links but no titles</t>
  </si>
  <si>
    <t xml:space="preserve">Protidiner Sangbad</t>
  </si>
  <si>
    <t xml:space="preserve">https://www.protidinersangbad.com</t>
  </si>
  <si>
    <t xml:space="preserve">https://www.protidinersangbad.com/</t>
  </si>
  <si>
    <t xml:space="preserve">Khola Kagoj</t>
  </si>
  <si>
    <t xml:space="preserve">https://www.kholakagojbd.com</t>
  </si>
  <si>
    <t xml:space="preserve">https://www.kholakagojbd.com/rss</t>
  </si>
  <si>
    <t xml:space="preserve">15</t>
  </si>
  <si>
    <t xml:space="preserve">/rss.xml is 404; /rss works</t>
  </si>
  <si>
    <t xml:space="preserve">Shokaler Khobor</t>
  </si>
  <si>
    <t xml:space="preserve">https://www.shokalerkhobor.com</t>
  </si>
  <si>
    <t xml:space="preserve">DNS failure / HTTP 445; domain may have changed</t>
  </si>
  <si>
    <t xml:space="preserve">Amar Desh</t>
  </si>
  <si>
    <t xml:space="preserve">https://www.dailyamardesh.com</t>
  </si>
  <si>
    <t xml:space="preserve">https://www.dailyamardesh.com/feed</t>
  </si>
  <si>
    <t xml:space="preserve">Dhaka Tribune Bangla</t>
  </si>
  <si>
    <t xml:space="preserve">https://bangla.dhakatribune.com</t>
  </si>
  <si>
    <t xml:space="preserve">https://bangla.dhakatribune.com/news-sitemap.xml</t>
  </si>
  <si>
    <t xml:space="preserve">~50</t>
  </si>
  <si>
    <t xml:space="preserve">Verified 5 Oct 2026 with live fetches. {YYYY-MM-DD} in a URL = replace with the date (one sitemap per day). Item counts are approximate.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</si>
</sst>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ources" displayName="Sources" ref="A1:J65" headerRowCount="1" totalsRowCount="0" totalsRowShown="0">
  <autoFilter ref="A1:J65"/>
  <tableColumns count="10">
    <tableColumn id="1" name="#"/>
    <tableColumn id="2" name="Portal"/>
    <tableColumn id="3" name="Language"/>
    <tableColumn id="4" name="Type"/>
    <tableColumn id="5" name="Homepage"/>
    <tableColumn id="6" name="Method"/>
    <tableColumn id="7" name="Fetch URL"/>
    <tableColumn id="8" name="Items (approx.)"/>
    <tableColumn id="9" name="Article URL pattern (HTML only)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rothomalo.com/" TargetMode="External"/><Relationship Id="rId2" Type="http://schemas.openxmlformats.org/officeDocument/2006/relationships/hyperlink" Target="https://www.prothomalo.com/feed/" TargetMode="External"/><Relationship Id="rId3" Type="http://schemas.openxmlformats.org/officeDocument/2006/relationships/hyperlink" Target="https://en.prothomalo.com/" TargetMode="External"/><Relationship Id="rId4" Type="http://schemas.openxmlformats.org/officeDocument/2006/relationships/hyperlink" Target="https://en.prothomalo.com/feed/" TargetMode="External"/><Relationship Id="rId5" Type="http://schemas.openxmlformats.org/officeDocument/2006/relationships/hyperlink" Target="https://www.thedailystar.net/" TargetMode="External"/><Relationship Id="rId6" Type="http://schemas.openxmlformats.org/officeDocument/2006/relationships/hyperlink" Target="https://www.thedailystar.net/" TargetMode="External"/><Relationship Id="rId7" Type="http://schemas.openxmlformats.org/officeDocument/2006/relationships/hyperlink" Target="https://bangla.thedailystar.net/" TargetMode="External"/><Relationship Id="rId8" Type="http://schemas.openxmlformats.org/officeDocument/2006/relationships/hyperlink" Target="https://bangla.thedailystar.net/" TargetMode="External"/><Relationship Id="rId9" Type="http://schemas.openxmlformats.org/officeDocument/2006/relationships/hyperlink" Target="https://bangla.bdnews24.com/" TargetMode="External"/><Relationship Id="rId10" Type="http://schemas.openxmlformats.org/officeDocument/2006/relationships/hyperlink" Target="https://bangla.bdnews24.com/" TargetMode="External"/><Relationship Id="rId11" Type="http://schemas.openxmlformats.org/officeDocument/2006/relationships/hyperlink" Target="https://bdnews24.com/" TargetMode="External"/><Relationship Id="rId12" Type="http://schemas.openxmlformats.org/officeDocument/2006/relationships/hyperlink" Target="https://bdnews24.com/" TargetMode="External"/><Relationship Id="rId13" Type="http://schemas.openxmlformats.org/officeDocument/2006/relationships/hyperlink" Target="https://www.dhakatribune.com/" TargetMode="External"/><Relationship Id="rId14" Type="http://schemas.openxmlformats.org/officeDocument/2006/relationships/hyperlink" Target="https://www.dhakatribune.com/news-sitemap.xml" TargetMode="External"/><Relationship Id="rId15" Type="http://schemas.openxmlformats.org/officeDocument/2006/relationships/hyperlink" Target="https://www.banglatribune.com/" TargetMode="External"/><Relationship Id="rId16" Type="http://schemas.openxmlformats.org/officeDocument/2006/relationships/hyperlink" Target="https://www.banglatribune.com/news-sitemap.xml" TargetMode="External"/><Relationship Id="rId17" Type="http://schemas.openxmlformats.org/officeDocument/2006/relationships/hyperlink" Target="https://www.tbsnews.net/" TargetMode="External"/><Relationship Id="rId18" Type="http://schemas.openxmlformats.org/officeDocument/2006/relationships/hyperlink" Target="https://www.tbsnews.net/" TargetMode="External"/><Relationship Id="rId19" Type="http://schemas.openxmlformats.org/officeDocument/2006/relationships/hyperlink" Target="https://www.tbsnews.net/bangla" TargetMode="External"/><Relationship Id="rId20" Type="http://schemas.openxmlformats.org/officeDocument/2006/relationships/hyperlink" Target="https://www.tbsnews.net/bangla" TargetMode="External"/><Relationship Id="rId21" Type="http://schemas.openxmlformats.org/officeDocument/2006/relationships/hyperlink" Target="https://www.jugantor.com/" TargetMode="External"/><Relationship Id="rId22" Type="http://schemas.openxmlformats.org/officeDocument/2006/relationships/hyperlink" Target="https://www.jugantor.com/news_sitemap.xml" TargetMode="External"/><Relationship Id="rId23" Type="http://schemas.openxmlformats.org/officeDocument/2006/relationships/hyperlink" Target="https://www.kalerkantho.com/" TargetMode="External"/><Relationship Id="rId24" Type="http://schemas.openxmlformats.org/officeDocument/2006/relationships/hyperlink" Target="https://samakal.com/" TargetMode="External"/><Relationship Id="rId25" Type="http://schemas.openxmlformats.org/officeDocument/2006/relationships/hyperlink" Target="https://samakal.com/news_sitemap.xml" TargetMode="External"/><Relationship Id="rId26" Type="http://schemas.openxmlformats.org/officeDocument/2006/relationships/hyperlink" Target="https://www.ittefaq.com.bd/" TargetMode="External"/><Relationship Id="rId27" Type="http://schemas.openxmlformats.org/officeDocument/2006/relationships/hyperlink" Target="https://www.ittefaq.com.bd/news-sitemap.xml" TargetMode="External"/><Relationship Id="rId28" Type="http://schemas.openxmlformats.org/officeDocument/2006/relationships/hyperlink" Target="https://www.bd-pratidin.com/" TargetMode="External"/><Relationship Id="rId29" Type="http://schemas.openxmlformats.org/officeDocument/2006/relationships/hyperlink" Target="https://dailynayadiganta.com/" TargetMode="External"/><Relationship Id="rId30" Type="http://schemas.openxmlformats.org/officeDocument/2006/relationships/hyperlink" Target="https://dailynayadiganta.com/" TargetMode="External"/><Relationship Id="rId31" Type="http://schemas.openxmlformats.org/officeDocument/2006/relationships/hyperlink" Target="https://www.mzamin.com/" TargetMode="External"/><Relationship Id="rId32" Type="http://schemas.openxmlformats.org/officeDocument/2006/relationships/hyperlink" Target="https://www.mzamin.com/" TargetMode="External"/><Relationship Id="rId33" Type="http://schemas.openxmlformats.org/officeDocument/2006/relationships/hyperlink" Target="https://www.deshrupantor.com/" TargetMode="External"/><Relationship Id="rId34" Type="http://schemas.openxmlformats.org/officeDocument/2006/relationships/hyperlink" Target="https://www.deshrupantor.com/news-sitemap.xml" TargetMode="External"/><Relationship Id="rId35" Type="http://schemas.openxmlformats.org/officeDocument/2006/relationships/hyperlink" Target="https://www.kalbela.com/" TargetMode="External"/><Relationship Id="rId36" Type="http://schemas.openxmlformats.org/officeDocument/2006/relationships/hyperlink" Target="https://www.kalbela.com/" TargetMode="External"/><Relationship Id="rId37" Type="http://schemas.openxmlformats.org/officeDocument/2006/relationships/hyperlink" Target="https://www.ajkerpatrika.com/" TargetMode="External"/><Relationship Id="rId38" Type="http://schemas.openxmlformats.org/officeDocument/2006/relationships/hyperlink" Target="https://www.ajkerpatrika.com/feed" TargetMode="External"/><Relationship Id="rId39" Type="http://schemas.openxmlformats.org/officeDocument/2006/relationships/hyperlink" Target="https://bonikbarta.com/" TargetMode="External"/><Relationship Id="rId40" Type="http://schemas.openxmlformats.org/officeDocument/2006/relationships/hyperlink" Target="https://www.dailyjanakantha.com/" TargetMode="External"/><Relationship Id="rId41" Type="http://schemas.openxmlformats.org/officeDocument/2006/relationships/hyperlink" Target="https://dailyinqilab.com/" TargetMode="External"/><Relationship Id="rId42" Type="http://schemas.openxmlformats.org/officeDocument/2006/relationships/hyperlink" Target="https://www.bhorerkagoj.net/" TargetMode="External"/><Relationship Id="rId43" Type="http://schemas.openxmlformats.org/officeDocument/2006/relationships/hyperlink" Target="https://www.bhorerkagoj.net/" TargetMode="External"/><Relationship Id="rId44" Type="http://schemas.openxmlformats.org/officeDocument/2006/relationships/hyperlink" Target="https://www.dainikamadershomoy.com/" TargetMode="External"/><Relationship Id="rId45" Type="http://schemas.openxmlformats.org/officeDocument/2006/relationships/hyperlink" Target="https://sangbad.net/" TargetMode="External"/><Relationship Id="rId46" Type="http://schemas.openxmlformats.org/officeDocument/2006/relationships/hyperlink" Target="https://sangbad.net/rss.xml" TargetMode="External"/><Relationship Id="rId47" Type="http://schemas.openxmlformats.org/officeDocument/2006/relationships/hyperlink" Target="https://www.jagonews24.com/" TargetMode="External"/><Relationship Id="rId48" Type="http://schemas.openxmlformats.org/officeDocument/2006/relationships/hyperlink" Target="https://www.jagonews24.com/" TargetMode="External"/><Relationship Id="rId49" Type="http://schemas.openxmlformats.org/officeDocument/2006/relationships/hyperlink" Target="https://www.dhakapost.com/" TargetMode="External"/><Relationship Id="rId50" Type="http://schemas.openxmlformats.org/officeDocument/2006/relationships/hyperlink" Target="https://www.dhakapost.com/rss/rss.xml" TargetMode="External"/><Relationship Id="rId51" Type="http://schemas.openxmlformats.org/officeDocument/2006/relationships/hyperlink" Target="https://www.risingbd.com/" TargetMode="External"/><Relationship Id="rId52" Type="http://schemas.openxmlformats.org/officeDocument/2006/relationships/hyperlink" Target="https://www.risingbd.com/rss/rss.xml" TargetMode="External"/><Relationship Id="rId53" Type="http://schemas.openxmlformats.org/officeDocument/2006/relationships/hyperlink" Target="https://www.banglanews24.com/" TargetMode="External"/><Relationship Id="rId54" Type="http://schemas.openxmlformats.org/officeDocument/2006/relationships/hyperlink" Target="https://www.daily-bangladesh.com/" TargetMode="External"/><Relationship Id="rId55" Type="http://schemas.openxmlformats.org/officeDocument/2006/relationships/hyperlink" Target="https://www.daily-bangladesh.com/rss.xml" TargetMode="External"/><Relationship Id="rId56" Type="http://schemas.openxmlformats.org/officeDocument/2006/relationships/hyperlink" Target="https://sarabangla.net/" TargetMode="External"/><Relationship Id="rId57" Type="http://schemas.openxmlformats.org/officeDocument/2006/relationships/hyperlink" Target="https://sarabangla.net/feed/" TargetMode="External"/><Relationship Id="rId58" Type="http://schemas.openxmlformats.org/officeDocument/2006/relationships/hyperlink" Target="https://barta24.com/" TargetMode="External"/><Relationship Id="rId59" Type="http://schemas.openxmlformats.org/officeDocument/2006/relationships/hyperlink" Target="https://barta24.com/rss/rss.xml" TargetMode="External"/><Relationship Id="rId60" Type="http://schemas.openxmlformats.org/officeDocument/2006/relationships/hyperlink" Target="https://www.dhakatimes24.com/" TargetMode="External"/><Relationship Id="rId61" Type="http://schemas.openxmlformats.org/officeDocument/2006/relationships/hyperlink" Target="https://www.dhakatimes24.com/" TargetMode="External"/><Relationship Id="rId62" Type="http://schemas.openxmlformats.org/officeDocument/2006/relationships/hyperlink" Target="https://www.banglainsider.com/" TargetMode="External"/><Relationship Id="rId63" Type="http://schemas.openxmlformats.org/officeDocument/2006/relationships/hyperlink" Target="https://www.ekushey-tv.com/" TargetMode="External"/><Relationship Id="rId64" Type="http://schemas.openxmlformats.org/officeDocument/2006/relationships/hyperlink" Target="https://www.ekushey-tv.com/rss/rss.xml" TargetMode="External"/><Relationship Id="rId65" Type="http://schemas.openxmlformats.org/officeDocument/2006/relationships/hyperlink" Target="https://www.somoynews.tv/" TargetMode="External"/><Relationship Id="rId66" Type="http://schemas.openxmlformats.org/officeDocument/2006/relationships/hyperlink" Target="https://www.jamuna.tv/" TargetMode="External"/><Relationship Id="rId67" Type="http://schemas.openxmlformats.org/officeDocument/2006/relationships/hyperlink" Target="https://www.jamuna.tv/news_sitemap.xml" TargetMode="External"/><Relationship Id="rId68" Type="http://schemas.openxmlformats.org/officeDocument/2006/relationships/hyperlink" Target="https://www.channelionline.com/" TargetMode="External"/><Relationship Id="rId69" Type="http://schemas.openxmlformats.org/officeDocument/2006/relationships/hyperlink" Target="https://www.channelionline.com/feed/" TargetMode="External"/><Relationship Id="rId70" Type="http://schemas.openxmlformats.org/officeDocument/2006/relationships/hyperlink" Target="https://www.ntvbd.com/" TargetMode="External"/><Relationship Id="rId71" Type="http://schemas.openxmlformats.org/officeDocument/2006/relationships/hyperlink" Target="https://www.ntvbd.com/" TargetMode="External"/><Relationship Id="rId72" Type="http://schemas.openxmlformats.org/officeDocument/2006/relationships/hyperlink" Target="https://www.rtvonline.com/" TargetMode="External"/><Relationship Id="rId73" Type="http://schemas.openxmlformats.org/officeDocument/2006/relationships/hyperlink" Target="https://www.rtvonline.com/" TargetMode="External"/><Relationship Id="rId74" Type="http://schemas.openxmlformats.org/officeDocument/2006/relationships/hyperlink" Target="https://ekattor.tv/" TargetMode="External"/><Relationship Id="rId75" Type="http://schemas.openxmlformats.org/officeDocument/2006/relationships/hyperlink" Target="https://ekattor.tv/news-sitemap.xml" TargetMode="External"/><Relationship Id="rId76" Type="http://schemas.openxmlformats.org/officeDocument/2006/relationships/hyperlink" Target="https://www.channel24bd.tv/" TargetMode="External"/><Relationship Id="rId77" Type="http://schemas.openxmlformats.org/officeDocument/2006/relationships/hyperlink" Target="https://www.channel24bd.tv/news-sitemap.xml" TargetMode="External"/><Relationship Id="rId78" Type="http://schemas.openxmlformats.org/officeDocument/2006/relationships/hyperlink" Target="https://www.itvbd.com/" TargetMode="External"/><Relationship Id="rId79" Type="http://schemas.openxmlformats.org/officeDocument/2006/relationships/hyperlink" Target="https://www.itvbd.com/news-sitemap.xml" TargetMode="External"/><Relationship Id="rId80" Type="http://schemas.openxmlformats.org/officeDocument/2006/relationships/hyperlink" Target="https://dbcnews.tv/" TargetMode="External"/><Relationship Id="rId81" Type="http://schemas.openxmlformats.org/officeDocument/2006/relationships/hyperlink" Target="https://www.bvnews24.com/" TargetMode="External"/><Relationship Id="rId82" Type="http://schemas.openxmlformats.org/officeDocument/2006/relationships/hyperlink" Target="https://www.bvnews24.com/rss/rss.xml" TargetMode="External"/><Relationship Id="rId83" Type="http://schemas.openxmlformats.org/officeDocument/2006/relationships/hyperlink" Target="https://www.shomoyeralo.com/" TargetMode="External"/><Relationship Id="rId84" Type="http://schemas.openxmlformats.org/officeDocument/2006/relationships/hyperlink" Target="https://www.shomoyeralo.com/" TargetMode="External"/><Relationship Id="rId85" Type="http://schemas.openxmlformats.org/officeDocument/2006/relationships/hyperlink" Target="https://www.alokitobangladesh.com/" TargetMode="External"/><Relationship Id="rId86" Type="http://schemas.openxmlformats.org/officeDocument/2006/relationships/hyperlink" Target="https://www.alokitobangladesh.com/rss/rss.xml" TargetMode="External"/><Relationship Id="rId87" Type="http://schemas.openxmlformats.org/officeDocument/2006/relationships/hyperlink" Target="https://thefinancialexpress.com.bd/" TargetMode="External"/><Relationship Id="rId88" Type="http://schemas.openxmlformats.org/officeDocument/2006/relationships/hyperlink" Target="https://thefinancialexpress.com.bd/" TargetMode="External"/><Relationship Id="rId89" Type="http://schemas.openxmlformats.org/officeDocument/2006/relationships/hyperlink" Target="https://www.newagebd.net/" TargetMode="External"/><Relationship Id="rId90" Type="http://schemas.openxmlformats.org/officeDocument/2006/relationships/hyperlink" Target="https://www.daily-sun.com/" TargetMode="External"/><Relationship Id="rId91" Type="http://schemas.openxmlformats.org/officeDocument/2006/relationships/hyperlink" Target="https://www.daily-sun.com/news_sitemap.xml" TargetMode="External"/><Relationship Id="rId92" Type="http://schemas.openxmlformats.org/officeDocument/2006/relationships/hyperlink" Target="https://www.observerbd.com/" TargetMode="External"/><Relationship Id="rId93" Type="http://schemas.openxmlformats.org/officeDocument/2006/relationships/hyperlink" Target="https://www.observerbd.com/rss.php" TargetMode="External"/><Relationship Id="rId94" Type="http://schemas.openxmlformats.org/officeDocument/2006/relationships/hyperlink" Target="https://bangladeshpost.net/" TargetMode="External"/><Relationship Id="rId95" Type="http://schemas.openxmlformats.org/officeDocument/2006/relationships/hyperlink" Target="https://dailyasianage.com/" TargetMode="External"/><Relationship Id="rId96" Type="http://schemas.openxmlformats.org/officeDocument/2006/relationships/hyperlink" Target="https://dailyasianage.com/" TargetMode="External"/><Relationship Id="rId97" Type="http://schemas.openxmlformats.org/officeDocument/2006/relationships/hyperlink" Target="https://www.dailymessenger.net/" TargetMode="External"/><Relationship Id="rId98" Type="http://schemas.openxmlformats.org/officeDocument/2006/relationships/hyperlink" Target="https://www.dailymessenger.net/rss/rss.xml" TargetMode="External"/><Relationship Id="rId99" Type="http://schemas.openxmlformats.org/officeDocument/2006/relationships/hyperlink" Target="https://unb.com.bd/" TargetMode="External"/><Relationship Id="rId100" Type="http://schemas.openxmlformats.org/officeDocument/2006/relationships/hyperlink" Target="https://unb.com.bd/" TargetMode="External"/><Relationship Id="rId101" Type="http://schemas.openxmlformats.org/officeDocument/2006/relationships/hyperlink" Target="https://www.bssnews.net/bangla" TargetMode="External"/><Relationship Id="rId102" Type="http://schemas.openxmlformats.org/officeDocument/2006/relationships/hyperlink" Target="https://www.bssnews.net/bangla" TargetMode="External"/><Relationship Id="rId103" Type="http://schemas.openxmlformats.org/officeDocument/2006/relationships/hyperlink" Target="https://www.bssnews.net/" TargetMode="External"/><Relationship Id="rId104" Type="http://schemas.openxmlformats.org/officeDocument/2006/relationships/hyperlink" Target="https://www.bssnews.net/" TargetMode="External"/><Relationship Id="rId105" Type="http://schemas.openxmlformats.org/officeDocument/2006/relationships/hyperlink" Target="https://en.bonikbarta.com/" TargetMode="External"/><Relationship Id="rId106" Type="http://schemas.openxmlformats.org/officeDocument/2006/relationships/hyperlink" Target="https://www.protidinersangbad.com/" TargetMode="External"/><Relationship Id="rId107" Type="http://schemas.openxmlformats.org/officeDocument/2006/relationships/hyperlink" Target="https://www.protidinersangbad.com/" TargetMode="External"/><Relationship Id="rId108" Type="http://schemas.openxmlformats.org/officeDocument/2006/relationships/hyperlink" Target="https://www.kholakagojbd.com/" TargetMode="External"/><Relationship Id="rId109" Type="http://schemas.openxmlformats.org/officeDocument/2006/relationships/hyperlink" Target="https://www.kholakagojbd.com/rss" TargetMode="External"/><Relationship Id="rId110" Type="http://schemas.openxmlformats.org/officeDocument/2006/relationships/hyperlink" Target="https://www.shokalerkhobor.com/" TargetMode="External"/><Relationship Id="rId111" Type="http://schemas.openxmlformats.org/officeDocument/2006/relationships/hyperlink" Target="https://www.dailyamardesh.com/" TargetMode="External"/><Relationship Id="rId112" Type="http://schemas.openxmlformats.org/officeDocument/2006/relationships/hyperlink" Target="https://www.dailyamardesh.com/feed" TargetMode="External"/><Relationship Id="rId113" Type="http://schemas.openxmlformats.org/officeDocument/2006/relationships/hyperlink" Target="https://bangla.dhakatribune.com/" TargetMode="External"/><Relationship Id="rId114" Type="http://schemas.openxmlformats.org/officeDocument/2006/relationships/hyperlink" Target="https://bangla.dhakatribune.com/news-sitemap.xml" TargetMode="External"/><Relationship Id="rId11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5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COUNTIF(Sources!$F$2:$F$65,A5)</f>
        <v>16</v>
      </c>
      <c r="C5" s="5" t="n">
        <f aca="false">COUNTIFS(Sources!$F$2:$F$65,A5,Sources!$C$2:$C$65,"Bangla")</f>
        <v>14</v>
      </c>
      <c r="D5" s="5" t="n">
        <f aca="false">COUNTIFS(Sources!$F$2:$F$65,A5,Sources!$C$2:$C$65,"English")</f>
        <v>2</v>
      </c>
      <c r="E5" s="5" t="s">
        <v>8</v>
      </c>
    </row>
    <row r="6" customFormat="false" ht="15" hidden="false" customHeight="false" outlineLevel="0" collapsed="false">
      <c r="A6" s="6" t="s">
        <v>9</v>
      </c>
      <c r="B6" s="5" t="n">
        <f aca="false">COUNTIF(Sources!$F$2:$F$65,A6)</f>
        <v>12</v>
      </c>
      <c r="C6" s="5" t="n">
        <f aca="false">COUNTIFS(Sources!$F$2:$F$65,A6,Sources!$C$2:$C$65,"Bangla")</f>
        <v>10</v>
      </c>
      <c r="D6" s="5" t="n">
        <f aca="false">COUNTIFS(Sources!$F$2:$F$65,A6,Sources!$C$2:$C$65,"English")</f>
        <v>2</v>
      </c>
      <c r="E6" s="5" t="s">
        <v>10</v>
      </c>
    </row>
    <row r="7" customFormat="false" ht="15" hidden="false" customHeight="false" outlineLevel="0" collapsed="false">
      <c r="A7" s="7" t="s">
        <v>11</v>
      </c>
      <c r="B7" s="5" t="n">
        <f aca="false">COUNTIF(Sources!$F$2:$F$65,A7)</f>
        <v>20</v>
      </c>
      <c r="C7" s="5" t="n">
        <f aca="false">COUNTIFS(Sources!$F$2:$F$65,A7,Sources!$C$2:$C$65,"Bangla")</f>
        <v>13</v>
      </c>
      <c r="D7" s="5" t="n">
        <f aca="false">COUNTIFS(Sources!$F$2:$F$65,A7,Sources!$C$2:$C$65,"English")</f>
        <v>7</v>
      </c>
      <c r="E7" s="5" t="s">
        <v>12</v>
      </c>
    </row>
    <row r="8" customFormat="false" ht="15" hidden="false" customHeight="false" outlineLevel="0" collapsed="false">
      <c r="A8" s="8" t="s">
        <v>13</v>
      </c>
      <c r="B8" s="5" t="n">
        <f aca="false">COUNTIF(Sources!$F$2:$F$65,A8)</f>
        <v>5</v>
      </c>
      <c r="C8" s="5" t="n">
        <f aca="false">COUNTIFS(Sources!$F$2:$F$65,A8,Sources!$C$2:$C$65,"Bangla")</f>
        <v>4</v>
      </c>
      <c r="D8" s="5" t="n">
        <f aca="false">COUNTIFS(Sources!$F$2:$F$65,A8,Sources!$C$2:$C$65,"English")</f>
        <v>1</v>
      </c>
      <c r="E8" s="5" t="s">
        <v>14</v>
      </c>
    </row>
    <row r="9" customFormat="false" ht="15" hidden="false" customHeight="false" outlineLevel="0" collapsed="false">
      <c r="A9" s="9" t="s">
        <v>15</v>
      </c>
      <c r="B9" s="5" t="n">
        <f aca="false">COUNTIF(Sources!$F$2:$F$65,A9)</f>
        <v>11</v>
      </c>
      <c r="C9" s="5" t="n">
        <f aca="false">COUNTIFS(Sources!$F$2:$F$65,A9,Sources!$C$2:$C$65,"Bangla")</f>
        <v>9</v>
      </c>
      <c r="D9" s="5" t="n">
        <f aca="false">COUNTIFS(Sources!$F$2:$F$65,A9,Sources!$C$2:$C$65,"English")</f>
        <v>2</v>
      </c>
      <c r="E9" s="5" t="s">
        <v>16</v>
      </c>
    </row>
    <row r="10" customFormat="false" ht="15" hidden="false" customHeight="false" outlineLevel="0" collapsed="false">
      <c r="A10" s="10" t="s">
        <v>17</v>
      </c>
      <c r="B10" s="5" t="n">
        <f aca="false">SUM(B5:B9)</f>
        <v>64</v>
      </c>
      <c r="C10" s="5" t="n">
        <f aca="false">SUM(C5:C9)</f>
        <v>50</v>
      </c>
      <c r="D10" s="5" t="n">
        <f aca="false">SUM(D5:D9)</f>
        <v>14</v>
      </c>
      <c r="E10" s="5"/>
    </row>
    <row r="11" customFormat="false" ht="15" hidden="false" customHeight="false" outlineLevel="0" collapsed="false">
      <c r="A11" s="10" t="s">
        <v>18</v>
      </c>
      <c r="B11" s="5" t="n">
        <f aca="false">B5+B6+B7</f>
        <v>48</v>
      </c>
      <c r="C11" s="5" t="n">
        <f aca="false">C5+C6+C7</f>
        <v>37</v>
      </c>
      <c r="D11" s="5" t="n">
        <f aca="false">D5+D6+D7</f>
        <v>11</v>
      </c>
      <c r="E11" s="5"/>
    </row>
    <row r="12" customFormat="false" ht="15" hidden="false" customHeight="false" outlineLevel="0" collapsed="false">
      <c r="A12" s="10" t="s">
        <v>19</v>
      </c>
      <c r="B12" s="5" t="n">
        <f aca="false">B5+B6</f>
        <v>28</v>
      </c>
      <c r="C12" s="5" t="n">
        <f aca="false">C5+C6</f>
        <v>24</v>
      </c>
      <c r="D12" s="5" t="n">
        <f aca="false">D5+D6</f>
        <v>4</v>
      </c>
      <c r="E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48"/>
  </cols>
  <sheetData>
    <row r="1" customFormat="false" ht="35.05" hidden="false" customHeight="false" outlineLevel="0" collapsed="false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</v>
      </c>
      <c r="G1" s="11" t="s">
        <v>25</v>
      </c>
      <c r="H1" s="11" t="s">
        <v>26</v>
      </c>
      <c r="I1" s="11" t="s">
        <v>27</v>
      </c>
      <c r="J1" s="11" t="s">
        <v>28</v>
      </c>
    </row>
    <row r="2" customFormat="false" ht="15" hidden="false" customHeight="false" outlineLevel="0" collapsed="false">
      <c r="A2" s="12" t="n">
        <v>1</v>
      </c>
      <c r="B2" s="12" t="s">
        <v>29</v>
      </c>
      <c r="C2" s="12" t="s">
        <v>4</v>
      </c>
      <c r="D2" s="12" t="s">
        <v>30</v>
      </c>
      <c r="E2" s="13" t="s">
        <v>31</v>
      </c>
      <c r="F2" s="12" t="s">
        <v>7</v>
      </c>
      <c r="G2" s="14" t="s">
        <v>32</v>
      </c>
      <c r="H2" s="12" t="s">
        <v>33</v>
      </c>
      <c r="I2" s="15"/>
      <c r="J2" s="15" t="s">
        <v>34</v>
      </c>
    </row>
    <row r="3" customFormat="false" ht="15" hidden="false" customHeight="false" outlineLevel="0" collapsed="false">
      <c r="A3" s="12" t="n">
        <v>2</v>
      </c>
      <c r="B3" s="12" t="s">
        <v>35</v>
      </c>
      <c r="C3" s="12" t="s">
        <v>5</v>
      </c>
      <c r="D3" s="12" t="s">
        <v>30</v>
      </c>
      <c r="E3" s="13" t="s">
        <v>36</v>
      </c>
      <c r="F3" s="12" t="s">
        <v>7</v>
      </c>
      <c r="G3" s="14" t="s">
        <v>37</v>
      </c>
      <c r="H3" s="12" t="s">
        <v>38</v>
      </c>
      <c r="I3" s="15"/>
      <c r="J3" s="15" t="s">
        <v>39</v>
      </c>
    </row>
    <row r="4" customFormat="false" ht="23.85" hidden="false" customHeight="false" outlineLevel="0" collapsed="false">
      <c r="A4" s="12" t="n">
        <v>3</v>
      </c>
      <c r="B4" s="12" t="s">
        <v>40</v>
      </c>
      <c r="C4" s="12" t="s">
        <v>5</v>
      </c>
      <c r="D4" s="12" t="s">
        <v>30</v>
      </c>
      <c r="E4" s="13" t="s">
        <v>41</v>
      </c>
      <c r="F4" s="12" t="s">
        <v>11</v>
      </c>
      <c r="G4" s="14" t="s">
        <v>42</v>
      </c>
      <c r="H4" s="12"/>
      <c r="I4" s="15" t="s">
        <v>43</v>
      </c>
      <c r="J4" s="15" t="s">
        <v>44</v>
      </c>
    </row>
    <row r="5" customFormat="false" ht="15" hidden="false" customHeight="false" outlineLevel="0" collapsed="false">
      <c r="A5" s="12" t="n">
        <v>4</v>
      </c>
      <c r="B5" s="12" t="s">
        <v>45</v>
      </c>
      <c r="C5" s="12" t="s">
        <v>4</v>
      </c>
      <c r="D5" s="12" t="s">
        <v>30</v>
      </c>
      <c r="E5" s="13" t="s">
        <v>46</v>
      </c>
      <c r="F5" s="12" t="s">
        <v>11</v>
      </c>
      <c r="G5" s="14" t="s">
        <v>47</v>
      </c>
      <c r="H5" s="12"/>
      <c r="I5" s="15" t="s">
        <v>48</v>
      </c>
      <c r="J5" s="15" t="s">
        <v>49</v>
      </c>
    </row>
    <row r="6" customFormat="false" ht="15" hidden="false" customHeight="false" outlineLevel="0" collapsed="false">
      <c r="A6" s="12" t="n">
        <v>5</v>
      </c>
      <c r="B6" s="12" t="s">
        <v>50</v>
      </c>
      <c r="C6" s="12" t="s">
        <v>4</v>
      </c>
      <c r="D6" s="12" t="s">
        <v>51</v>
      </c>
      <c r="E6" s="13" t="s">
        <v>52</v>
      </c>
      <c r="F6" s="12" t="s">
        <v>11</v>
      </c>
      <c r="G6" s="14" t="s">
        <v>53</v>
      </c>
      <c r="H6" s="12"/>
      <c r="I6" s="15" t="s">
        <v>54</v>
      </c>
      <c r="J6" s="15" t="s">
        <v>55</v>
      </c>
    </row>
    <row r="7" customFormat="false" ht="15" hidden="false" customHeight="false" outlineLevel="0" collapsed="false">
      <c r="A7" s="12" t="n">
        <v>6</v>
      </c>
      <c r="B7" s="12" t="s">
        <v>56</v>
      </c>
      <c r="C7" s="12" t="s">
        <v>5</v>
      </c>
      <c r="D7" s="12" t="s">
        <v>51</v>
      </c>
      <c r="E7" s="13" t="s">
        <v>57</v>
      </c>
      <c r="F7" s="12" t="s">
        <v>11</v>
      </c>
      <c r="G7" s="14" t="s">
        <v>58</v>
      </c>
      <c r="H7" s="12"/>
      <c r="I7" s="15" t="s">
        <v>54</v>
      </c>
      <c r="J7" s="15" t="s">
        <v>55</v>
      </c>
    </row>
    <row r="8" customFormat="false" ht="15" hidden="false" customHeight="false" outlineLevel="0" collapsed="false">
      <c r="A8" s="12" t="n">
        <v>7</v>
      </c>
      <c r="B8" s="12" t="s">
        <v>59</v>
      </c>
      <c r="C8" s="12" t="s">
        <v>5</v>
      </c>
      <c r="D8" s="12" t="s">
        <v>30</v>
      </c>
      <c r="E8" s="13" t="s">
        <v>60</v>
      </c>
      <c r="F8" s="12" t="s">
        <v>9</v>
      </c>
      <c r="G8" s="14" t="s">
        <v>61</v>
      </c>
      <c r="H8" s="12" t="s">
        <v>62</v>
      </c>
      <c r="I8" s="15"/>
      <c r="J8" s="15" t="s">
        <v>63</v>
      </c>
    </row>
    <row r="9" customFormat="false" ht="15" hidden="false" customHeight="false" outlineLevel="0" collapsed="false">
      <c r="A9" s="12" t="n">
        <v>8</v>
      </c>
      <c r="B9" s="12" t="s">
        <v>64</v>
      </c>
      <c r="C9" s="12" t="s">
        <v>4</v>
      </c>
      <c r="D9" s="12" t="s">
        <v>51</v>
      </c>
      <c r="E9" s="13" t="s">
        <v>65</v>
      </c>
      <c r="F9" s="12" t="s">
        <v>9</v>
      </c>
      <c r="G9" s="14" t="s">
        <v>66</v>
      </c>
      <c r="H9" s="12" t="s">
        <v>67</v>
      </c>
      <c r="I9" s="15"/>
      <c r="J9" s="15" t="s">
        <v>68</v>
      </c>
    </row>
    <row r="10" customFormat="false" ht="15" hidden="false" customHeight="false" outlineLevel="0" collapsed="false">
      <c r="A10" s="12" t="n">
        <v>9</v>
      </c>
      <c r="B10" s="12" t="s">
        <v>69</v>
      </c>
      <c r="C10" s="12" t="s">
        <v>5</v>
      </c>
      <c r="D10" s="12" t="s">
        <v>30</v>
      </c>
      <c r="E10" s="13" t="s">
        <v>70</v>
      </c>
      <c r="F10" s="12" t="s">
        <v>11</v>
      </c>
      <c r="G10" s="14" t="s">
        <v>71</v>
      </c>
      <c r="H10" s="12"/>
      <c r="I10" s="15" t="s">
        <v>72</v>
      </c>
      <c r="J10" s="15" t="s">
        <v>73</v>
      </c>
    </row>
    <row r="11" customFormat="false" ht="15" hidden="false" customHeight="false" outlineLevel="0" collapsed="false">
      <c r="A11" s="12" t="n">
        <v>10</v>
      </c>
      <c r="B11" s="12" t="s">
        <v>74</v>
      </c>
      <c r="C11" s="12" t="s">
        <v>4</v>
      </c>
      <c r="D11" s="12" t="s">
        <v>30</v>
      </c>
      <c r="E11" s="13" t="s">
        <v>75</v>
      </c>
      <c r="F11" s="12" t="s">
        <v>11</v>
      </c>
      <c r="G11" s="14" t="s">
        <v>75</v>
      </c>
      <c r="H11" s="12"/>
      <c r="I11" s="15" t="s">
        <v>76</v>
      </c>
      <c r="J11" s="15" t="s">
        <v>77</v>
      </c>
    </row>
    <row r="12" customFormat="false" ht="15" hidden="false" customHeight="false" outlineLevel="0" collapsed="false">
      <c r="A12" s="12" t="n">
        <v>11</v>
      </c>
      <c r="B12" s="12" t="s">
        <v>78</v>
      </c>
      <c r="C12" s="12" t="s">
        <v>4</v>
      </c>
      <c r="D12" s="12" t="s">
        <v>30</v>
      </c>
      <c r="E12" s="13" t="s">
        <v>79</v>
      </c>
      <c r="F12" s="12" t="s">
        <v>9</v>
      </c>
      <c r="G12" s="14" t="s">
        <v>80</v>
      </c>
      <c r="H12" s="12" t="s">
        <v>81</v>
      </c>
      <c r="I12" s="15"/>
      <c r="J12" s="15" t="s">
        <v>82</v>
      </c>
    </row>
    <row r="13" customFormat="false" ht="23.85" hidden="false" customHeight="false" outlineLevel="0" collapsed="false">
      <c r="A13" s="12" t="n">
        <v>12</v>
      </c>
      <c r="B13" s="12" t="s">
        <v>83</v>
      </c>
      <c r="C13" s="12" t="s">
        <v>4</v>
      </c>
      <c r="D13" s="12" t="s">
        <v>30</v>
      </c>
      <c r="E13" s="13" t="s">
        <v>84</v>
      </c>
      <c r="F13" s="12" t="s">
        <v>9</v>
      </c>
      <c r="G13" s="15" t="s">
        <v>85</v>
      </c>
      <c r="H13" s="12" t="s">
        <v>86</v>
      </c>
      <c r="I13" s="15"/>
      <c r="J13" s="15" t="s">
        <v>87</v>
      </c>
    </row>
    <row r="14" customFormat="false" ht="23.85" hidden="false" customHeight="false" outlineLevel="0" collapsed="false">
      <c r="A14" s="12" t="n">
        <v>13</v>
      </c>
      <c r="B14" s="12" t="s">
        <v>88</v>
      </c>
      <c r="C14" s="12" t="s">
        <v>4</v>
      </c>
      <c r="D14" s="12" t="s">
        <v>30</v>
      </c>
      <c r="E14" s="13" t="s">
        <v>89</v>
      </c>
      <c r="F14" s="12" t="s">
        <v>13</v>
      </c>
      <c r="G14" s="14" t="s">
        <v>90</v>
      </c>
      <c r="H14" s="12" t="s">
        <v>91</v>
      </c>
      <c r="I14" s="15"/>
      <c r="J14" s="15" t="s">
        <v>92</v>
      </c>
    </row>
    <row r="15" customFormat="false" ht="15" hidden="false" customHeight="false" outlineLevel="0" collapsed="false">
      <c r="A15" s="12" t="n">
        <v>14</v>
      </c>
      <c r="B15" s="12" t="s">
        <v>93</v>
      </c>
      <c r="C15" s="12" t="s">
        <v>4</v>
      </c>
      <c r="D15" s="12" t="s">
        <v>30</v>
      </c>
      <c r="E15" s="13" t="s">
        <v>94</v>
      </c>
      <c r="F15" s="12" t="s">
        <v>9</v>
      </c>
      <c r="G15" s="14" t="s">
        <v>95</v>
      </c>
      <c r="H15" s="12" t="s">
        <v>96</v>
      </c>
      <c r="I15" s="15"/>
      <c r="J15" s="15" t="s">
        <v>97</v>
      </c>
    </row>
    <row r="16" customFormat="false" ht="15" hidden="false" customHeight="false" outlineLevel="0" collapsed="false">
      <c r="A16" s="12" t="n">
        <v>15</v>
      </c>
      <c r="B16" s="12" t="s">
        <v>98</v>
      </c>
      <c r="C16" s="12" t="s">
        <v>4</v>
      </c>
      <c r="D16" s="12" t="s">
        <v>30</v>
      </c>
      <c r="E16" s="13" t="s">
        <v>99</v>
      </c>
      <c r="F16" s="12" t="s">
        <v>15</v>
      </c>
      <c r="G16" s="15"/>
      <c r="H16" s="12"/>
      <c r="I16" s="15"/>
      <c r="J16" s="15" t="s">
        <v>100</v>
      </c>
    </row>
    <row r="17" customFormat="false" ht="15" hidden="false" customHeight="false" outlineLevel="0" collapsed="false">
      <c r="A17" s="12" t="n">
        <v>16</v>
      </c>
      <c r="B17" s="12" t="s">
        <v>101</v>
      </c>
      <c r="C17" s="12" t="s">
        <v>4</v>
      </c>
      <c r="D17" s="12" t="s">
        <v>30</v>
      </c>
      <c r="E17" s="13" t="s">
        <v>102</v>
      </c>
      <c r="F17" s="12" t="s">
        <v>11</v>
      </c>
      <c r="G17" s="14" t="s">
        <v>103</v>
      </c>
      <c r="H17" s="12"/>
      <c r="I17" s="15" t="s">
        <v>104</v>
      </c>
      <c r="J17" s="15" t="s">
        <v>105</v>
      </c>
    </row>
    <row r="18" customFormat="false" ht="15" hidden="false" customHeight="false" outlineLevel="0" collapsed="false">
      <c r="A18" s="12" t="n">
        <v>17</v>
      </c>
      <c r="B18" s="12" t="s">
        <v>106</v>
      </c>
      <c r="C18" s="12" t="s">
        <v>4</v>
      </c>
      <c r="D18" s="12" t="s">
        <v>30</v>
      </c>
      <c r="E18" s="13" t="s">
        <v>107</v>
      </c>
      <c r="F18" s="12" t="s">
        <v>11</v>
      </c>
      <c r="G18" s="14" t="s">
        <v>108</v>
      </c>
      <c r="H18" s="12"/>
      <c r="I18" s="15" t="s">
        <v>109</v>
      </c>
      <c r="J18" s="15" t="s">
        <v>110</v>
      </c>
    </row>
    <row r="19" customFormat="false" ht="15" hidden="false" customHeight="false" outlineLevel="0" collapsed="false">
      <c r="A19" s="12" t="n">
        <v>18</v>
      </c>
      <c r="B19" s="12" t="s">
        <v>111</v>
      </c>
      <c r="C19" s="12" t="s">
        <v>4</v>
      </c>
      <c r="D19" s="12" t="s">
        <v>30</v>
      </c>
      <c r="E19" s="13" t="s">
        <v>112</v>
      </c>
      <c r="F19" s="12" t="s">
        <v>9</v>
      </c>
      <c r="G19" s="14" t="s">
        <v>113</v>
      </c>
      <c r="H19" s="12" t="s">
        <v>67</v>
      </c>
      <c r="I19" s="15"/>
      <c r="J19" s="15" t="s">
        <v>97</v>
      </c>
    </row>
    <row r="20" customFormat="false" ht="15" hidden="false" customHeight="false" outlineLevel="0" collapsed="false">
      <c r="A20" s="12" t="n">
        <v>19</v>
      </c>
      <c r="B20" s="12" t="s">
        <v>114</v>
      </c>
      <c r="C20" s="12" t="s">
        <v>4</v>
      </c>
      <c r="D20" s="12" t="s">
        <v>30</v>
      </c>
      <c r="E20" s="13" t="s">
        <v>115</v>
      </c>
      <c r="F20" s="12" t="s">
        <v>11</v>
      </c>
      <c r="G20" s="14" t="s">
        <v>116</v>
      </c>
      <c r="H20" s="12"/>
      <c r="I20" s="15" t="s">
        <v>117</v>
      </c>
      <c r="J20" s="15" t="s">
        <v>118</v>
      </c>
    </row>
    <row r="21" customFormat="false" ht="15" hidden="false" customHeight="false" outlineLevel="0" collapsed="false">
      <c r="A21" s="12" t="n">
        <v>20</v>
      </c>
      <c r="B21" s="12" t="s">
        <v>119</v>
      </c>
      <c r="C21" s="12" t="s">
        <v>4</v>
      </c>
      <c r="D21" s="12" t="s">
        <v>30</v>
      </c>
      <c r="E21" s="13" t="s">
        <v>120</v>
      </c>
      <c r="F21" s="12" t="s">
        <v>7</v>
      </c>
      <c r="G21" s="14" t="s">
        <v>121</v>
      </c>
      <c r="H21" s="12" t="s">
        <v>122</v>
      </c>
      <c r="I21" s="15"/>
      <c r="J21" s="15" t="s">
        <v>34</v>
      </c>
    </row>
    <row r="22" customFormat="false" ht="23.85" hidden="false" customHeight="false" outlineLevel="0" collapsed="false">
      <c r="A22" s="12" t="n">
        <v>21</v>
      </c>
      <c r="B22" s="12" t="s">
        <v>123</v>
      </c>
      <c r="C22" s="12" t="s">
        <v>4</v>
      </c>
      <c r="D22" s="12" t="s">
        <v>30</v>
      </c>
      <c r="E22" s="13" t="s">
        <v>124</v>
      </c>
      <c r="F22" s="12" t="s">
        <v>13</v>
      </c>
      <c r="G22" s="15" t="s">
        <v>125</v>
      </c>
      <c r="H22" s="12" t="s">
        <v>126</v>
      </c>
      <c r="I22" s="15"/>
      <c r="J22" s="15" t="s">
        <v>127</v>
      </c>
    </row>
    <row r="23" customFormat="false" ht="15" hidden="false" customHeight="false" outlineLevel="0" collapsed="false">
      <c r="A23" s="12" t="n">
        <v>22</v>
      </c>
      <c r="B23" s="12" t="s">
        <v>128</v>
      </c>
      <c r="C23" s="12" t="s">
        <v>4</v>
      </c>
      <c r="D23" s="12" t="s">
        <v>30</v>
      </c>
      <c r="E23" s="13" t="s">
        <v>129</v>
      </c>
      <c r="F23" s="12" t="s">
        <v>15</v>
      </c>
      <c r="G23" s="15"/>
      <c r="H23" s="12"/>
      <c r="I23" s="15"/>
      <c r="J23" s="15" t="s">
        <v>130</v>
      </c>
    </row>
    <row r="24" customFormat="false" ht="15" hidden="false" customHeight="false" outlineLevel="0" collapsed="false">
      <c r="A24" s="12" t="n">
        <v>23</v>
      </c>
      <c r="B24" s="12" t="s">
        <v>131</v>
      </c>
      <c r="C24" s="12" t="s">
        <v>4</v>
      </c>
      <c r="D24" s="12" t="s">
        <v>30</v>
      </c>
      <c r="E24" s="13" t="s">
        <v>132</v>
      </c>
      <c r="F24" s="12" t="s">
        <v>15</v>
      </c>
      <c r="G24" s="15"/>
      <c r="H24" s="12"/>
      <c r="I24" s="15"/>
      <c r="J24" s="15" t="s">
        <v>133</v>
      </c>
    </row>
    <row r="25" customFormat="false" ht="15" hidden="false" customHeight="false" outlineLevel="0" collapsed="false">
      <c r="A25" s="12" t="n">
        <v>24</v>
      </c>
      <c r="B25" s="12" t="s">
        <v>134</v>
      </c>
      <c r="C25" s="12" t="s">
        <v>4</v>
      </c>
      <c r="D25" s="12" t="s">
        <v>30</v>
      </c>
      <c r="E25" s="13" t="s">
        <v>135</v>
      </c>
      <c r="F25" s="12" t="s">
        <v>11</v>
      </c>
      <c r="G25" s="14" t="s">
        <v>136</v>
      </c>
      <c r="H25" s="12"/>
      <c r="I25" s="15" t="s">
        <v>137</v>
      </c>
      <c r="J25" s="15" t="s">
        <v>138</v>
      </c>
    </row>
    <row r="26" customFormat="false" ht="15" hidden="false" customHeight="false" outlineLevel="0" collapsed="false">
      <c r="A26" s="12" t="n">
        <v>25</v>
      </c>
      <c r="B26" s="12" t="s">
        <v>139</v>
      </c>
      <c r="C26" s="12" t="s">
        <v>4</v>
      </c>
      <c r="D26" s="12" t="s">
        <v>30</v>
      </c>
      <c r="E26" s="13" t="s">
        <v>140</v>
      </c>
      <c r="F26" s="12" t="s">
        <v>15</v>
      </c>
      <c r="G26" s="15"/>
      <c r="H26" s="12"/>
      <c r="I26" s="15"/>
      <c r="J26" s="15" t="s">
        <v>141</v>
      </c>
    </row>
    <row r="27" customFormat="false" ht="15" hidden="false" customHeight="false" outlineLevel="0" collapsed="false">
      <c r="A27" s="12" t="n">
        <v>26</v>
      </c>
      <c r="B27" s="12" t="s">
        <v>142</v>
      </c>
      <c r="C27" s="12" t="s">
        <v>4</v>
      </c>
      <c r="D27" s="12" t="s">
        <v>30</v>
      </c>
      <c r="E27" s="13" t="s">
        <v>143</v>
      </c>
      <c r="F27" s="12" t="s">
        <v>7</v>
      </c>
      <c r="G27" s="14" t="s">
        <v>144</v>
      </c>
      <c r="H27" s="12" t="s">
        <v>145</v>
      </c>
      <c r="I27" s="15"/>
      <c r="J27" s="15" t="s">
        <v>146</v>
      </c>
    </row>
    <row r="28" customFormat="false" ht="15" hidden="false" customHeight="false" outlineLevel="0" collapsed="false">
      <c r="A28" s="12" t="n">
        <v>27</v>
      </c>
      <c r="B28" s="12" t="s">
        <v>147</v>
      </c>
      <c r="C28" s="12" t="s">
        <v>4</v>
      </c>
      <c r="D28" s="12" t="s">
        <v>51</v>
      </c>
      <c r="E28" s="13" t="s">
        <v>148</v>
      </c>
      <c r="F28" s="12" t="s">
        <v>11</v>
      </c>
      <c r="G28" s="14" t="s">
        <v>149</v>
      </c>
      <c r="H28" s="12"/>
      <c r="I28" s="15" t="s">
        <v>150</v>
      </c>
      <c r="J28" s="15" t="s">
        <v>151</v>
      </c>
    </row>
    <row r="29" customFormat="false" ht="15" hidden="false" customHeight="false" outlineLevel="0" collapsed="false">
      <c r="A29" s="12" t="n">
        <v>28</v>
      </c>
      <c r="B29" s="12" t="s">
        <v>152</v>
      </c>
      <c r="C29" s="12" t="s">
        <v>4</v>
      </c>
      <c r="D29" s="12" t="s">
        <v>51</v>
      </c>
      <c r="E29" s="13" t="s">
        <v>153</v>
      </c>
      <c r="F29" s="12" t="s">
        <v>7</v>
      </c>
      <c r="G29" s="14" t="s">
        <v>154</v>
      </c>
      <c r="H29" s="12" t="s">
        <v>122</v>
      </c>
      <c r="I29" s="15"/>
      <c r="J29" s="15" t="s">
        <v>34</v>
      </c>
    </row>
    <row r="30" customFormat="false" ht="15" hidden="false" customHeight="false" outlineLevel="0" collapsed="false">
      <c r="A30" s="12" t="n">
        <v>29</v>
      </c>
      <c r="B30" s="12" t="s">
        <v>155</v>
      </c>
      <c r="C30" s="12" t="s">
        <v>4</v>
      </c>
      <c r="D30" s="12" t="s">
        <v>51</v>
      </c>
      <c r="E30" s="13" t="s">
        <v>156</v>
      </c>
      <c r="F30" s="12" t="s">
        <v>7</v>
      </c>
      <c r="G30" s="14" t="s">
        <v>157</v>
      </c>
      <c r="H30" s="12" t="s">
        <v>67</v>
      </c>
      <c r="I30" s="15"/>
      <c r="J30" s="15" t="s">
        <v>34</v>
      </c>
    </row>
    <row r="31" customFormat="false" ht="15" hidden="false" customHeight="false" outlineLevel="0" collapsed="false">
      <c r="A31" s="12" t="n">
        <v>30</v>
      </c>
      <c r="B31" s="12" t="s">
        <v>158</v>
      </c>
      <c r="C31" s="12" t="s">
        <v>4</v>
      </c>
      <c r="D31" s="12" t="s">
        <v>51</v>
      </c>
      <c r="E31" s="13" t="s">
        <v>159</v>
      </c>
      <c r="F31" s="12" t="s">
        <v>15</v>
      </c>
      <c r="G31" s="15"/>
      <c r="H31" s="12"/>
      <c r="I31" s="15"/>
      <c r="J31" s="15" t="s">
        <v>160</v>
      </c>
    </row>
    <row r="32" customFormat="false" ht="15" hidden="false" customHeight="false" outlineLevel="0" collapsed="false">
      <c r="A32" s="12" t="n">
        <v>31</v>
      </c>
      <c r="B32" s="12" t="s">
        <v>161</v>
      </c>
      <c r="C32" s="12" t="s">
        <v>4</v>
      </c>
      <c r="D32" s="12" t="s">
        <v>51</v>
      </c>
      <c r="E32" s="13" t="s">
        <v>162</v>
      </c>
      <c r="F32" s="12" t="s">
        <v>7</v>
      </c>
      <c r="G32" s="14" t="s">
        <v>163</v>
      </c>
      <c r="H32" s="12" t="s">
        <v>164</v>
      </c>
      <c r="I32" s="15"/>
      <c r="J32" s="15" t="s">
        <v>165</v>
      </c>
    </row>
    <row r="33" customFormat="false" ht="15" hidden="false" customHeight="false" outlineLevel="0" collapsed="false">
      <c r="A33" s="12" t="n">
        <v>32</v>
      </c>
      <c r="B33" s="12" t="s">
        <v>166</v>
      </c>
      <c r="C33" s="12" t="s">
        <v>4</v>
      </c>
      <c r="D33" s="12" t="s">
        <v>51</v>
      </c>
      <c r="E33" s="13" t="s">
        <v>167</v>
      </c>
      <c r="F33" s="12" t="s">
        <v>7</v>
      </c>
      <c r="G33" s="14" t="s">
        <v>168</v>
      </c>
      <c r="H33" s="12" t="s">
        <v>164</v>
      </c>
      <c r="I33" s="15"/>
      <c r="J33" s="15" t="s">
        <v>34</v>
      </c>
    </row>
    <row r="34" customFormat="false" ht="15" hidden="false" customHeight="false" outlineLevel="0" collapsed="false">
      <c r="A34" s="12" t="n">
        <v>33</v>
      </c>
      <c r="B34" s="12" t="s">
        <v>169</v>
      </c>
      <c r="C34" s="12" t="s">
        <v>4</v>
      </c>
      <c r="D34" s="12" t="s">
        <v>51</v>
      </c>
      <c r="E34" s="13" t="s">
        <v>170</v>
      </c>
      <c r="F34" s="12" t="s">
        <v>7</v>
      </c>
      <c r="G34" s="14" t="s">
        <v>171</v>
      </c>
      <c r="H34" s="12" t="s">
        <v>67</v>
      </c>
      <c r="I34" s="15"/>
      <c r="J34" s="15" t="s">
        <v>172</v>
      </c>
    </row>
    <row r="35" customFormat="false" ht="15" hidden="false" customHeight="false" outlineLevel="0" collapsed="false">
      <c r="A35" s="12" t="n">
        <v>34</v>
      </c>
      <c r="B35" s="12" t="s">
        <v>173</v>
      </c>
      <c r="C35" s="12" t="s">
        <v>4</v>
      </c>
      <c r="D35" s="12" t="s">
        <v>51</v>
      </c>
      <c r="E35" s="13" t="s">
        <v>174</v>
      </c>
      <c r="F35" s="12" t="s">
        <v>11</v>
      </c>
      <c r="G35" s="14" t="s">
        <v>175</v>
      </c>
      <c r="H35" s="12"/>
      <c r="I35" s="15" t="s">
        <v>176</v>
      </c>
      <c r="J35" s="15" t="s">
        <v>177</v>
      </c>
    </row>
    <row r="36" customFormat="false" ht="15" hidden="false" customHeight="false" outlineLevel="0" collapsed="false">
      <c r="A36" s="12" t="n">
        <v>35</v>
      </c>
      <c r="B36" s="12" t="s">
        <v>178</v>
      </c>
      <c r="C36" s="12" t="s">
        <v>4</v>
      </c>
      <c r="D36" s="12" t="s">
        <v>51</v>
      </c>
      <c r="E36" s="13" t="s">
        <v>179</v>
      </c>
      <c r="F36" s="12" t="s">
        <v>15</v>
      </c>
      <c r="G36" s="15"/>
      <c r="H36" s="12"/>
      <c r="I36" s="15"/>
      <c r="J36" s="15" t="s">
        <v>180</v>
      </c>
    </row>
    <row r="37" customFormat="false" ht="15" hidden="false" customHeight="false" outlineLevel="0" collapsed="false">
      <c r="A37" s="12" t="n">
        <v>36</v>
      </c>
      <c r="B37" s="12" t="s">
        <v>181</v>
      </c>
      <c r="C37" s="12" t="s">
        <v>4</v>
      </c>
      <c r="D37" s="12" t="s">
        <v>182</v>
      </c>
      <c r="E37" s="13" t="s">
        <v>183</v>
      </c>
      <c r="F37" s="12" t="s">
        <v>7</v>
      </c>
      <c r="G37" s="14" t="s">
        <v>184</v>
      </c>
      <c r="H37" s="12" t="s">
        <v>185</v>
      </c>
      <c r="I37" s="15"/>
      <c r="J37" s="15" t="s">
        <v>34</v>
      </c>
    </row>
    <row r="38" customFormat="false" ht="15" hidden="false" customHeight="false" outlineLevel="0" collapsed="false">
      <c r="A38" s="12" t="n">
        <v>37</v>
      </c>
      <c r="B38" s="12" t="s">
        <v>186</v>
      </c>
      <c r="C38" s="12" t="s">
        <v>4</v>
      </c>
      <c r="D38" s="12" t="s">
        <v>182</v>
      </c>
      <c r="E38" s="13" t="s">
        <v>187</v>
      </c>
      <c r="F38" s="12" t="s">
        <v>15</v>
      </c>
      <c r="G38" s="15"/>
      <c r="H38" s="12"/>
      <c r="I38" s="15"/>
      <c r="J38" s="15" t="s">
        <v>188</v>
      </c>
    </row>
    <row r="39" customFormat="false" ht="15" hidden="false" customHeight="false" outlineLevel="0" collapsed="false">
      <c r="A39" s="12" t="n">
        <v>38</v>
      </c>
      <c r="B39" s="12" t="s">
        <v>189</v>
      </c>
      <c r="C39" s="12" t="s">
        <v>4</v>
      </c>
      <c r="D39" s="12" t="s">
        <v>182</v>
      </c>
      <c r="E39" s="13" t="s">
        <v>190</v>
      </c>
      <c r="F39" s="12" t="s">
        <v>9</v>
      </c>
      <c r="G39" s="14" t="s">
        <v>191</v>
      </c>
      <c r="H39" s="12" t="s">
        <v>192</v>
      </c>
      <c r="I39" s="15"/>
      <c r="J39" s="15" t="s">
        <v>193</v>
      </c>
    </row>
    <row r="40" customFormat="false" ht="15" hidden="false" customHeight="false" outlineLevel="0" collapsed="false">
      <c r="A40" s="12" t="n">
        <v>39</v>
      </c>
      <c r="B40" s="12" t="s">
        <v>194</v>
      </c>
      <c r="C40" s="12" t="s">
        <v>4</v>
      </c>
      <c r="D40" s="12" t="s">
        <v>182</v>
      </c>
      <c r="E40" s="13" t="s">
        <v>195</v>
      </c>
      <c r="F40" s="12" t="s">
        <v>7</v>
      </c>
      <c r="G40" s="14" t="s">
        <v>196</v>
      </c>
      <c r="H40" s="12" t="s">
        <v>185</v>
      </c>
      <c r="I40" s="15"/>
      <c r="J40" s="15" t="s">
        <v>197</v>
      </c>
    </row>
    <row r="41" customFormat="false" ht="15" hidden="false" customHeight="false" outlineLevel="0" collapsed="false">
      <c r="A41" s="12" t="n">
        <v>40</v>
      </c>
      <c r="B41" s="12" t="s">
        <v>198</v>
      </c>
      <c r="C41" s="12" t="s">
        <v>4</v>
      </c>
      <c r="D41" s="12" t="s">
        <v>182</v>
      </c>
      <c r="E41" s="13" t="s">
        <v>199</v>
      </c>
      <c r="F41" s="12" t="s">
        <v>11</v>
      </c>
      <c r="G41" s="14" t="s">
        <v>200</v>
      </c>
      <c r="H41" s="12"/>
      <c r="I41" s="15" t="s">
        <v>201</v>
      </c>
      <c r="J41" s="15" t="s">
        <v>202</v>
      </c>
    </row>
    <row r="42" customFormat="false" ht="15" hidden="false" customHeight="false" outlineLevel="0" collapsed="false">
      <c r="A42" s="12" t="n">
        <v>41</v>
      </c>
      <c r="B42" s="12" t="s">
        <v>203</v>
      </c>
      <c r="C42" s="12" t="s">
        <v>4</v>
      </c>
      <c r="D42" s="12" t="s">
        <v>182</v>
      </c>
      <c r="E42" s="13" t="s">
        <v>204</v>
      </c>
      <c r="F42" s="12" t="s">
        <v>11</v>
      </c>
      <c r="G42" s="14" t="s">
        <v>205</v>
      </c>
      <c r="H42" s="12"/>
      <c r="I42" s="15" t="s">
        <v>137</v>
      </c>
      <c r="J42" s="15" t="s">
        <v>206</v>
      </c>
    </row>
    <row r="43" customFormat="false" ht="15" hidden="false" customHeight="false" outlineLevel="0" collapsed="false">
      <c r="A43" s="12" t="n">
        <v>42</v>
      </c>
      <c r="B43" s="12" t="s">
        <v>207</v>
      </c>
      <c r="C43" s="12" t="s">
        <v>4</v>
      </c>
      <c r="D43" s="12" t="s">
        <v>182</v>
      </c>
      <c r="E43" s="13" t="s">
        <v>208</v>
      </c>
      <c r="F43" s="12" t="s">
        <v>9</v>
      </c>
      <c r="G43" s="14" t="s">
        <v>209</v>
      </c>
      <c r="H43" s="12" t="s">
        <v>67</v>
      </c>
      <c r="I43" s="15"/>
      <c r="J43" s="15" t="s">
        <v>97</v>
      </c>
    </row>
    <row r="44" customFormat="false" ht="15" hidden="false" customHeight="false" outlineLevel="0" collapsed="false">
      <c r="A44" s="12" t="n">
        <v>43</v>
      </c>
      <c r="B44" s="12" t="s">
        <v>210</v>
      </c>
      <c r="C44" s="12" t="s">
        <v>4</v>
      </c>
      <c r="D44" s="12" t="s">
        <v>182</v>
      </c>
      <c r="E44" s="13" t="s">
        <v>211</v>
      </c>
      <c r="F44" s="12" t="s">
        <v>9</v>
      </c>
      <c r="G44" s="14" t="s">
        <v>212</v>
      </c>
      <c r="H44" s="12" t="s">
        <v>81</v>
      </c>
      <c r="I44" s="15"/>
      <c r="J44" s="15" t="s">
        <v>213</v>
      </c>
    </row>
    <row r="45" customFormat="false" ht="15" hidden="false" customHeight="false" outlineLevel="0" collapsed="false">
      <c r="A45" s="12" t="n">
        <v>44</v>
      </c>
      <c r="B45" s="12" t="s">
        <v>214</v>
      </c>
      <c r="C45" s="12" t="s">
        <v>4</v>
      </c>
      <c r="D45" s="12" t="s">
        <v>182</v>
      </c>
      <c r="E45" s="13" t="s">
        <v>215</v>
      </c>
      <c r="F45" s="12" t="s">
        <v>9</v>
      </c>
      <c r="G45" s="14" t="s">
        <v>216</v>
      </c>
      <c r="H45" s="12" t="s">
        <v>67</v>
      </c>
      <c r="I45" s="15"/>
      <c r="J45" s="15" t="s">
        <v>97</v>
      </c>
    </row>
    <row r="46" customFormat="false" ht="15" hidden="false" customHeight="false" outlineLevel="0" collapsed="false">
      <c r="A46" s="12" t="n">
        <v>45</v>
      </c>
      <c r="B46" s="12" t="s">
        <v>217</v>
      </c>
      <c r="C46" s="12" t="s">
        <v>4</v>
      </c>
      <c r="D46" s="12" t="s">
        <v>182</v>
      </c>
      <c r="E46" s="13" t="s">
        <v>218</v>
      </c>
      <c r="F46" s="12" t="s">
        <v>15</v>
      </c>
      <c r="G46" s="15"/>
      <c r="H46" s="12"/>
      <c r="I46" s="15"/>
      <c r="J46" s="15" t="s">
        <v>219</v>
      </c>
    </row>
    <row r="47" customFormat="false" ht="15" hidden="false" customHeight="false" outlineLevel="0" collapsed="false">
      <c r="A47" s="12" t="n">
        <v>46</v>
      </c>
      <c r="B47" s="12" t="s">
        <v>220</v>
      </c>
      <c r="C47" s="12" t="s">
        <v>4</v>
      </c>
      <c r="D47" s="12" t="s">
        <v>182</v>
      </c>
      <c r="E47" s="13" t="s">
        <v>221</v>
      </c>
      <c r="F47" s="12" t="s">
        <v>7</v>
      </c>
      <c r="G47" s="14" t="s">
        <v>222</v>
      </c>
      <c r="H47" s="12" t="s">
        <v>122</v>
      </c>
      <c r="I47" s="15"/>
      <c r="J47" s="15" t="s">
        <v>223</v>
      </c>
    </row>
    <row r="48" customFormat="false" ht="15" hidden="false" customHeight="false" outlineLevel="0" collapsed="false">
      <c r="A48" s="12" t="n">
        <v>47</v>
      </c>
      <c r="B48" s="12" t="s">
        <v>224</v>
      </c>
      <c r="C48" s="12" t="s">
        <v>4</v>
      </c>
      <c r="D48" s="12" t="s">
        <v>30</v>
      </c>
      <c r="E48" s="13" t="s">
        <v>225</v>
      </c>
      <c r="F48" s="12" t="s">
        <v>11</v>
      </c>
      <c r="G48" s="14" t="s">
        <v>226</v>
      </c>
      <c r="H48" s="12"/>
      <c r="I48" s="15" t="s">
        <v>227</v>
      </c>
      <c r="J48" s="15" t="s">
        <v>228</v>
      </c>
    </row>
    <row r="49" customFormat="false" ht="15" hidden="false" customHeight="false" outlineLevel="0" collapsed="false">
      <c r="A49" s="12" t="n">
        <v>48</v>
      </c>
      <c r="B49" s="12" t="s">
        <v>229</v>
      </c>
      <c r="C49" s="12" t="s">
        <v>4</v>
      </c>
      <c r="D49" s="12" t="s">
        <v>30</v>
      </c>
      <c r="E49" s="13" t="s">
        <v>230</v>
      </c>
      <c r="F49" s="12" t="s">
        <v>7</v>
      </c>
      <c r="G49" s="14" t="s">
        <v>231</v>
      </c>
      <c r="H49" s="12" t="s">
        <v>232</v>
      </c>
      <c r="I49" s="15"/>
      <c r="J49" s="15" t="s">
        <v>34</v>
      </c>
    </row>
    <row r="50" customFormat="false" ht="15" hidden="false" customHeight="false" outlineLevel="0" collapsed="false">
      <c r="A50" s="12" t="n">
        <v>49</v>
      </c>
      <c r="B50" s="12" t="s">
        <v>233</v>
      </c>
      <c r="C50" s="12" t="s">
        <v>5</v>
      </c>
      <c r="D50" s="12" t="s">
        <v>30</v>
      </c>
      <c r="E50" s="13" t="s">
        <v>234</v>
      </c>
      <c r="F50" s="12" t="s">
        <v>11</v>
      </c>
      <c r="G50" s="14" t="s">
        <v>235</v>
      </c>
      <c r="H50" s="12"/>
      <c r="I50" s="15" t="s">
        <v>236</v>
      </c>
      <c r="J50" s="15" t="s">
        <v>237</v>
      </c>
    </row>
    <row r="51" customFormat="false" ht="15" hidden="false" customHeight="false" outlineLevel="0" collapsed="false">
      <c r="A51" s="12" t="n">
        <v>50</v>
      </c>
      <c r="B51" s="12" t="s">
        <v>238</v>
      </c>
      <c r="C51" s="12" t="s">
        <v>5</v>
      </c>
      <c r="D51" s="12" t="s">
        <v>30</v>
      </c>
      <c r="E51" s="13" t="s">
        <v>239</v>
      </c>
      <c r="F51" s="12" t="s">
        <v>15</v>
      </c>
      <c r="G51" s="15"/>
      <c r="H51" s="12"/>
      <c r="I51" s="15"/>
      <c r="J51" s="15" t="s">
        <v>100</v>
      </c>
    </row>
    <row r="52" customFormat="false" ht="15" hidden="false" customHeight="false" outlineLevel="0" collapsed="false">
      <c r="A52" s="12" t="n">
        <v>51</v>
      </c>
      <c r="B52" s="12" t="s">
        <v>240</v>
      </c>
      <c r="C52" s="12" t="s">
        <v>5</v>
      </c>
      <c r="D52" s="12" t="s">
        <v>30</v>
      </c>
      <c r="E52" s="13" t="s">
        <v>241</v>
      </c>
      <c r="F52" s="12" t="s">
        <v>9</v>
      </c>
      <c r="G52" s="14" t="s">
        <v>242</v>
      </c>
      <c r="H52" s="12" t="s">
        <v>243</v>
      </c>
      <c r="I52" s="15"/>
      <c r="J52" s="15" t="s">
        <v>244</v>
      </c>
    </row>
    <row r="53" customFormat="false" ht="15" hidden="false" customHeight="false" outlineLevel="0" collapsed="false">
      <c r="A53" s="12" t="n">
        <v>52</v>
      </c>
      <c r="B53" s="12" t="s">
        <v>245</v>
      </c>
      <c r="C53" s="12" t="s">
        <v>5</v>
      </c>
      <c r="D53" s="12" t="s">
        <v>30</v>
      </c>
      <c r="E53" s="13" t="s">
        <v>246</v>
      </c>
      <c r="F53" s="12" t="s">
        <v>7</v>
      </c>
      <c r="G53" s="14" t="s">
        <v>247</v>
      </c>
      <c r="H53" s="12" t="s">
        <v>164</v>
      </c>
      <c r="I53" s="15"/>
      <c r="J53" s="15" t="s">
        <v>248</v>
      </c>
    </row>
    <row r="54" customFormat="false" ht="15" hidden="false" customHeight="false" outlineLevel="0" collapsed="false">
      <c r="A54" s="12" t="n">
        <v>53</v>
      </c>
      <c r="B54" s="12" t="s">
        <v>249</v>
      </c>
      <c r="C54" s="12" t="s">
        <v>5</v>
      </c>
      <c r="D54" s="12" t="s">
        <v>30</v>
      </c>
      <c r="E54" s="13" t="s">
        <v>250</v>
      </c>
      <c r="F54" s="12" t="s">
        <v>15</v>
      </c>
      <c r="G54" s="15"/>
      <c r="H54" s="12"/>
      <c r="I54" s="15"/>
      <c r="J54" s="15" t="s">
        <v>251</v>
      </c>
    </row>
    <row r="55" customFormat="false" ht="15" hidden="false" customHeight="false" outlineLevel="0" collapsed="false">
      <c r="A55" s="12" t="n">
        <v>54</v>
      </c>
      <c r="B55" s="12" t="s">
        <v>252</v>
      </c>
      <c r="C55" s="12" t="s">
        <v>5</v>
      </c>
      <c r="D55" s="12" t="s">
        <v>30</v>
      </c>
      <c r="E55" s="13" t="s">
        <v>253</v>
      </c>
      <c r="F55" s="12" t="s">
        <v>11</v>
      </c>
      <c r="G55" s="14" t="s">
        <v>254</v>
      </c>
      <c r="H55" s="12"/>
      <c r="I55" s="15" t="s">
        <v>255</v>
      </c>
      <c r="J55" s="15" t="s">
        <v>256</v>
      </c>
    </row>
    <row r="56" customFormat="false" ht="15" hidden="false" customHeight="false" outlineLevel="0" collapsed="false">
      <c r="A56" s="12" t="n">
        <v>55</v>
      </c>
      <c r="B56" s="12" t="s">
        <v>257</v>
      </c>
      <c r="C56" s="12" t="s">
        <v>4</v>
      </c>
      <c r="D56" s="12" t="s">
        <v>30</v>
      </c>
      <c r="E56" s="13" t="s">
        <v>258</v>
      </c>
      <c r="F56" s="12" t="s">
        <v>13</v>
      </c>
      <c r="G56" s="14" t="s">
        <v>259</v>
      </c>
      <c r="H56" s="12" t="s">
        <v>185</v>
      </c>
      <c r="I56" s="15"/>
      <c r="J56" s="15" t="s">
        <v>260</v>
      </c>
    </row>
    <row r="57" customFormat="false" ht="15" hidden="false" customHeight="false" outlineLevel="0" collapsed="false">
      <c r="A57" s="12" t="n">
        <v>56</v>
      </c>
      <c r="B57" s="12" t="s">
        <v>261</v>
      </c>
      <c r="C57" s="12" t="s">
        <v>5</v>
      </c>
      <c r="D57" s="12" t="s">
        <v>262</v>
      </c>
      <c r="E57" s="13" t="s">
        <v>263</v>
      </c>
      <c r="F57" s="12" t="s">
        <v>11</v>
      </c>
      <c r="G57" s="14" t="s">
        <v>264</v>
      </c>
      <c r="H57" s="12"/>
      <c r="I57" s="15" t="s">
        <v>265</v>
      </c>
      <c r="J57" s="15" t="s">
        <v>266</v>
      </c>
    </row>
    <row r="58" customFormat="false" ht="15" hidden="false" customHeight="false" outlineLevel="0" collapsed="false">
      <c r="A58" s="12" t="n">
        <v>57</v>
      </c>
      <c r="B58" s="12" t="s">
        <v>267</v>
      </c>
      <c r="C58" s="12" t="s">
        <v>4</v>
      </c>
      <c r="D58" s="12" t="s">
        <v>262</v>
      </c>
      <c r="E58" s="13" t="s">
        <v>268</v>
      </c>
      <c r="F58" s="12" t="s">
        <v>13</v>
      </c>
      <c r="G58" s="14" t="s">
        <v>268</v>
      </c>
      <c r="H58" s="12"/>
      <c r="I58" s="15"/>
      <c r="J58" s="15" t="s">
        <v>269</v>
      </c>
    </row>
    <row r="59" customFormat="false" ht="15" hidden="false" customHeight="false" outlineLevel="0" collapsed="false">
      <c r="A59" s="12" t="n">
        <v>58</v>
      </c>
      <c r="B59" s="12" t="s">
        <v>270</v>
      </c>
      <c r="C59" s="12" t="s">
        <v>5</v>
      </c>
      <c r="D59" s="12" t="s">
        <v>262</v>
      </c>
      <c r="E59" s="13" t="s">
        <v>271</v>
      </c>
      <c r="F59" s="12" t="s">
        <v>11</v>
      </c>
      <c r="G59" s="14" t="s">
        <v>272</v>
      </c>
      <c r="H59" s="12"/>
      <c r="I59" s="15" t="s">
        <v>273</v>
      </c>
      <c r="J59" s="15" t="s">
        <v>274</v>
      </c>
    </row>
    <row r="60" customFormat="false" ht="23.85" hidden="false" customHeight="false" outlineLevel="0" collapsed="false">
      <c r="A60" s="12" t="n">
        <v>59</v>
      </c>
      <c r="B60" s="12" t="s">
        <v>275</v>
      </c>
      <c r="C60" s="12" t="s">
        <v>5</v>
      </c>
      <c r="D60" s="12" t="s">
        <v>30</v>
      </c>
      <c r="E60" s="13" t="s">
        <v>276</v>
      </c>
      <c r="F60" s="12" t="s">
        <v>13</v>
      </c>
      <c r="G60" s="15" t="s">
        <v>277</v>
      </c>
      <c r="H60" s="12" t="s">
        <v>278</v>
      </c>
      <c r="I60" s="15"/>
      <c r="J60" s="15" t="s">
        <v>279</v>
      </c>
    </row>
    <row r="61" customFormat="false" ht="15" hidden="false" customHeight="false" outlineLevel="0" collapsed="false">
      <c r="A61" s="12" t="n">
        <v>60</v>
      </c>
      <c r="B61" s="12" t="s">
        <v>280</v>
      </c>
      <c r="C61" s="12" t="s">
        <v>4</v>
      </c>
      <c r="D61" s="12" t="s">
        <v>30</v>
      </c>
      <c r="E61" s="13" t="s">
        <v>281</v>
      </c>
      <c r="F61" s="12" t="s">
        <v>11</v>
      </c>
      <c r="G61" s="14" t="s">
        <v>282</v>
      </c>
      <c r="H61" s="12"/>
      <c r="I61" s="15" t="s">
        <v>137</v>
      </c>
      <c r="J61" s="15" t="s">
        <v>228</v>
      </c>
    </row>
    <row r="62" customFormat="false" ht="15" hidden="false" customHeight="false" outlineLevel="0" collapsed="false">
      <c r="A62" s="12" t="n">
        <v>61</v>
      </c>
      <c r="B62" s="12" t="s">
        <v>283</v>
      </c>
      <c r="C62" s="12" t="s">
        <v>4</v>
      </c>
      <c r="D62" s="12" t="s">
        <v>30</v>
      </c>
      <c r="E62" s="13" t="s">
        <v>284</v>
      </c>
      <c r="F62" s="12" t="s">
        <v>7</v>
      </c>
      <c r="G62" s="14" t="s">
        <v>285</v>
      </c>
      <c r="H62" s="12" t="s">
        <v>286</v>
      </c>
      <c r="I62" s="15"/>
      <c r="J62" s="15" t="s">
        <v>287</v>
      </c>
    </row>
    <row r="63" customFormat="false" ht="15" hidden="false" customHeight="false" outlineLevel="0" collapsed="false">
      <c r="A63" s="12" t="n">
        <v>62</v>
      </c>
      <c r="B63" s="12" t="s">
        <v>288</v>
      </c>
      <c r="C63" s="12" t="s">
        <v>4</v>
      </c>
      <c r="D63" s="12" t="s">
        <v>30</v>
      </c>
      <c r="E63" s="13" t="s">
        <v>289</v>
      </c>
      <c r="F63" s="12" t="s">
        <v>15</v>
      </c>
      <c r="G63" s="15"/>
      <c r="H63" s="12"/>
      <c r="I63" s="15"/>
      <c r="J63" s="15" t="s">
        <v>290</v>
      </c>
    </row>
    <row r="64" customFormat="false" ht="15" hidden="false" customHeight="false" outlineLevel="0" collapsed="false">
      <c r="A64" s="12" t="n">
        <v>63</v>
      </c>
      <c r="B64" s="12" t="s">
        <v>291</v>
      </c>
      <c r="C64" s="12" t="s">
        <v>4</v>
      </c>
      <c r="D64" s="12" t="s">
        <v>30</v>
      </c>
      <c r="E64" s="13" t="s">
        <v>292</v>
      </c>
      <c r="F64" s="12" t="s">
        <v>7</v>
      </c>
      <c r="G64" s="14" t="s">
        <v>293</v>
      </c>
      <c r="H64" s="12" t="s">
        <v>122</v>
      </c>
      <c r="I64" s="15"/>
      <c r="J64" s="15" t="s">
        <v>34</v>
      </c>
    </row>
    <row r="65" customFormat="false" ht="15" hidden="false" customHeight="false" outlineLevel="0" collapsed="false">
      <c r="A65" s="12" t="n">
        <v>64</v>
      </c>
      <c r="B65" s="12" t="s">
        <v>294</v>
      </c>
      <c r="C65" s="12" t="s">
        <v>4</v>
      </c>
      <c r="D65" s="12" t="s">
        <v>30</v>
      </c>
      <c r="E65" s="13" t="s">
        <v>295</v>
      </c>
      <c r="F65" s="12" t="s">
        <v>9</v>
      </c>
      <c r="G65" s="14" t="s">
        <v>296</v>
      </c>
      <c r="H65" s="12" t="s">
        <v>297</v>
      </c>
      <c r="I65" s="15"/>
      <c r="J65" s="15" t="s">
        <v>97</v>
      </c>
    </row>
    <row r="67" customFormat="false" ht="15" hidden="false" customHeight="false" outlineLevel="0" collapsed="false">
      <c r="A67" s="2" t="s">
        <v>298</v>
      </c>
    </row>
  </sheetData>
  <conditionalFormatting sqref="F2:F65">
    <cfRule type="expression" priority="2" aboveAverage="0" equalAverage="0" bottom="0" percent="0" rank="0" text="" dxfId="9">
      <formula>$F2="RSS"</formula>
    </cfRule>
    <cfRule type="expression" priority="3" aboveAverage="0" equalAverage="0" bottom="0" percent="0" rank="0" text="" dxfId="10">
      <formula>$F2="Sitemap"</formula>
    </cfRule>
    <cfRule type="expression" priority="4" aboveAverage="0" equalAverage="0" bottom="0" percent="0" rank="0" text="" dxfId="11">
      <formula>$F2="HTML"</formula>
    </cfRule>
    <cfRule type="expression" priority="5" aboveAverage="0" equalAverage="0" bottom="0" percent="0" rank="0" text="" dxfId="12">
      <formula>$F2="Unclear"</formula>
    </cfRule>
    <cfRule type="expression" priority="6" aboveAverage="0" equalAverage="0" bottom="0" percent="0" rank="0" text="" dxfId="13">
      <formula>$F2="Unavailable"</formula>
    </cfRule>
  </conditionalFormatting>
  <hyperlinks>
    <hyperlink ref="E2" r:id="rId1" display="https://www.prothomalo.com"/>
    <hyperlink ref="G2" r:id="rId2" display="https://www.prothomalo.com/feed/"/>
    <hyperlink ref="E3" r:id="rId3" display="https://en.prothomalo.com"/>
    <hyperlink ref="G3" r:id="rId4" display="https://en.prothomalo.com/feed/"/>
    <hyperlink ref="E4" r:id="rId5" display="https://www.thedailystar.net"/>
    <hyperlink ref="G4" r:id="rId6" display="https://www.thedailystar.net/"/>
    <hyperlink ref="E5" r:id="rId7" display="https://bangla.thedailystar.net"/>
    <hyperlink ref="G5" r:id="rId8" display="https://bangla.thedailystar.net/"/>
    <hyperlink ref="E6" r:id="rId9" display="https://bangla.bdnews24.com"/>
    <hyperlink ref="G6" r:id="rId10" display="https://bangla.bdnews24.com/"/>
    <hyperlink ref="E7" r:id="rId11" display="https://bdnews24.com"/>
    <hyperlink ref="G7" r:id="rId12" display="https://bdnews24.com/"/>
    <hyperlink ref="E8" r:id="rId13" display="https://www.dhakatribune.com"/>
    <hyperlink ref="G8" r:id="rId14" display="https://www.dhakatribune.com/news-sitemap.xml"/>
    <hyperlink ref="E9" r:id="rId15" display="https://www.banglatribune.com"/>
    <hyperlink ref="G9" r:id="rId16" display="https://www.banglatribune.com/news-sitemap.xml"/>
    <hyperlink ref="E10" r:id="rId17" display="https://www.tbsnews.net"/>
    <hyperlink ref="G10" r:id="rId18" display="https://www.tbsnews.net/"/>
    <hyperlink ref="E11" r:id="rId19" display="https://www.tbsnews.net/bangla"/>
    <hyperlink ref="G11" r:id="rId20" display="https://www.tbsnews.net/bangla"/>
    <hyperlink ref="E12" r:id="rId21" display="https://www.jugantor.com"/>
    <hyperlink ref="G12" r:id="rId22" display="https://www.jugantor.com/news_sitemap.xml"/>
    <hyperlink ref="E13" r:id="rId23" display="https://www.kalerkantho.com"/>
    <hyperlink ref="E14" r:id="rId24" display="https://samakal.com"/>
    <hyperlink ref="G14" r:id="rId25" display="https://samakal.com/news_sitemap.xml"/>
    <hyperlink ref="E15" r:id="rId26" display="https://www.ittefaq.com.bd"/>
    <hyperlink ref="G15" r:id="rId27" display="https://www.ittefaq.com.bd/news-sitemap.xml"/>
    <hyperlink ref="E16" r:id="rId28" display="https://www.bd-pratidin.com"/>
    <hyperlink ref="E17" r:id="rId29" display="https://dailynayadiganta.com"/>
    <hyperlink ref="G17" r:id="rId30" display="https://dailynayadiganta.com/"/>
    <hyperlink ref="E18" r:id="rId31" display="https://www.mzamin.com"/>
    <hyperlink ref="G18" r:id="rId32" display="https://www.mzamin.com/"/>
    <hyperlink ref="E19" r:id="rId33" display="https://www.deshrupantor.com"/>
    <hyperlink ref="G19" r:id="rId34" display="https://www.deshrupantor.com/news-sitemap.xml"/>
    <hyperlink ref="E20" r:id="rId35" display="https://www.kalbela.com"/>
    <hyperlink ref="G20" r:id="rId36" display="https://www.kalbela.com/"/>
    <hyperlink ref="E21" r:id="rId37" display="https://www.ajkerpatrika.com"/>
    <hyperlink ref="G21" r:id="rId38" display="https://www.ajkerpatrika.com/feed"/>
    <hyperlink ref="E22" r:id="rId39" display="https://bonikbarta.com"/>
    <hyperlink ref="E23" r:id="rId40" display="https://www.dailyjanakantha.com"/>
    <hyperlink ref="E24" r:id="rId41" display="https://dailyinqilab.com"/>
    <hyperlink ref="E25" r:id="rId42" display="https://www.bhorerkagoj.net"/>
    <hyperlink ref="G25" r:id="rId43" display="https://www.bhorerkagoj.net/"/>
    <hyperlink ref="E26" r:id="rId44" display="https://www.dainikamadershomoy.com"/>
    <hyperlink ref="E27" r:id="rId45" display="https://sangbad.net"/>
    <hyperlink ref="G27" r:id="rId46" display="https://sangbad.net/rss.xml"/>
    <hyperlink ref="E28" r:id="rId47" display="https://www.jagonews24.com"/>
    <hyperlink ref="G28" r:id="rId48" display="https://www.jagonews24.com/"/>
    <hyperlink ref="E29" r:id="rId49" display="https://www.dhakapost.com"/>
    <hyperlink ref="G29" r:id="rId50" display="https://www.dhakapost.com/rss/rss.xml"/>
    <hyperlink ref="E30" r:id="rId51" display="https://www.risingbd.com"/>
    <hyperlink ref="G30" r:id="rId52" display="https://www.risingbd.com/rss/rss.xml"/>
    <hyperlink ref="E31" r:id="rId53" display="https://www.banglanews24.com"/>
    <hyperlink ref="E32" r:id="rId54" display="https://www.daily-bangladesh.com"/>
    <hyperlink ref="G32" r:id="rId55" display="https://www.daily-bangladesh.com/rss.xml"/>
    <hyperlink ref="E33" r:id="rId56" display="https://sarabangla.net"/>
    <hyperlink ref="G33" r:id="rId57" display="https://sarabangla.net/feed/"/>
    <hyperlink ref="E34" r:id="rId58" display="https://barta24.com"/>
    <hyperlink ref="G34" r:id="rId59" display="https://barta24.com/rss/rss.xml"/>
    <hyperlink ref="E35" r:id="rId60" display="https://www.dhakatimes24.com"/>
    <hyperlink ref="G35" r:id="rId61" display="https://www.dhakatimes24.com/"/>
    <hyperlink ref="E36" r:id="rId62" display="https://www.banglainsider.com"/>
    <hyperlink ref="E37" r:id="rId63" display="https://www.ekushey-tv.com"/>
    <hyperlink ref="G37" r:id="rId64" display="https://www.ekushey-tv.com/rss/rss.xml"/>
    <hyperlink ref="E38" r:id="rId65" display="https://www.somoynews.tv"/>
    <hyperlink ref="E39" r:id="rId66" display="https://www.jamuna.tv"/>
    <hyperlink ref="G39" r:id="rId67" display="https://www.jamuna.tv/news_sitemap.xml"/>
    <hyperlink ref="E40" r:id="rId68" display="https://www.channelionline.com"/>
    <hyperlink ref="G40" r:id="rId69" display="https://www.channelionline.com/feed/"/>
    <hyperlink ref="E41" r:id="rId70" display="https://www.ntvbd.com"/>
    <hyperlink ref="G41" r:id="rId71" display="https://www.ntvbd.com/"/>
    <hyperlink ref="E42" r:id="rId72" display="https://www.rtvonline.com"/>
    <hyperlink ref="G42" r:id="rId73" display="https://www.rtvonline.com/"/>
    <hyperlink ref="E43" r:id="rId74" display="https://ekattor.tv"/>
    <hyperlink ref="G43" r:id="rId75" display="https://ekattor.tv/news-sitemap.xml"/>
    <hyperlink ref="E44" r:id="rId76" display="https://www.channel24bd.tv"/>
    <hyperlink ref="G44" r:id="rId77" display="https://www.channel24bd.tv/news-sitemap.xml"/>
    <hyperlink ref="E45" r:id="rId78" display="https://www.itvbd.com"/>
    <hyperlink ref="G45" r:id="rId79" display="https://www.itvbd.com/news-sitemap.xml"/>
    <hyperlink ref="E46" r:id="rId80" display="https://dbcnews.tv"/>
    <hyperlink ref="E47" r:id="rId81" display="https://www.bvnews24.com"/>
    <hyperlink ref="G47" r:id="rId82" display="https://www.bvnews24.com/rss/rss.xml"/>
    <hyperlink ref="E48" r:id="rId83" display="https://www.shomoyeralo.com"/>
    <hyperlink ref="G48" r:id="rId84" display="https://www.shomoyeralo.com/"/>
    <hyperlink ref="E49" r:id="rId85" display="https://www.alokitobangladesh.com"/>
    <hyperlink ref="G49" r:id="rId86" display="https://www.alokitobangladesh.com/rss/rss.xml"/>
    <hyperlink ref="E50" r:id="rId87" display="https://thefinancialexpress.com.bd"/>
    <hyperlink ref="G50" r:id="rId88" display="https://thefinancialexpress.com.bd/"/>
    <hyperlink ref="E51" r:id="rId89" display="https://www.newagebd.net"/>
    <hyperlink ref="E52" r:id="rId90" display="https://www.daily-sun.com"/>
    <hyperlink ref="G52" r:id="rId91" display="https://www.daily-sun.com/news_sitemap.xml"/>
    <hyperlink ref="E53" r:id="rId92" display="https://www.observerbd.com"/>
    <hyperlink ref="G53" r:id="rId93" display="https://www.observerbd.com/rss.php"/>
    <hyperlink ref="E54" r:id="rId94" display="https://bangladeshpost.net"/>
    <hyperlink ref="E55" r:id="rId95" display="https://dailyasianage.com"/>
    <hyperlink ref="G55" r:id="rId96" display="https://dailyasianage.com/"/>
    <hyperlink ref="E56" r:id="rId97" display="https://www.dailymessenger.net"/>
    <hyperlink ref="G56" r:id="rId98" display="https://www.dailymessenger.net/rss/rss.xml"/>
    <hyperlink ref="E57" r:id="rId99" display="https://unb.com.bd"/>
    <hyperlink ref="G57" r:id="rId100" display="https://unb.com.bd/"/>
    <hyperlink ref="E58" r:id="rId101" display="https://www.bssnews.net/bangla"/>
    <hyperlink ref="G58" r:id="rId102" display="https://www.bssnews.net/bangla"/>
    <hyperlink ref="E59" r:id="rId103" display="https://www.bssnews.net"/>
    <hyperlink ref="G59" r:id="rId104" display="https://www.bssnews.net/"/>
    <hyperlink ref="E60" r:id="rId105" display="https://en.bonikbarta.com"/>
    <hyperlink ref="E61" r:id="rId106" display="https://www.protidinersangbad.com"/>
    <hyperlink ref="G61" r:id="rId107" display="https://www.protidinersangbad.com/"/>
    <hyperlink ref="E62" r:id="rId108" display="https://www.kholakagojbd.com"/>
    <hyperlink ref="G62" r:id="rId109" display="https://www.kholakagojbd.com/rss"/>
    <hyperlink ref="E63" r:id="rId110" display="https://www.shokalerkhobor.com"/>
    <hyperlink ref="E64" r:id="rId111" display="https://www.dailyamardesh.com"/>
    <hyperlink ref="G64" r:id="rId112" display="https://www.dailyamardesh.com/feed"/>
    <hyperlink ref="E65" r:id="rId113" display="https://bangla.dhakatribune.com"/>
    <hyperlink ref="G65" r:id="rId114" display="https://bangla.dhakatribune.com/news-sitemap.x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2026-10-04T19:46:56Z</dcterms:created>
  <dc:creator>openpyxl</dc:creator>
  <dc:description/>
  <dc:language>en-US</dc:language>
  <cp:lastModifiedBy/>
  <dcterms:modified xsi:type="dcterms:W3CDTF">2026-10-04T19:46:56Z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